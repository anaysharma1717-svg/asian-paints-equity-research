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Forecast" sheetId="4" state="visible" r:id="rId6"/>
    <sheet name="Balance Sheet" sheetId="5" state="visible" r:id="rId7"/>
    <sheet name="Cash Flow" sheetId="6" state="visible" r:id="rId8"/>
    <sheet name="Valuation" sheetId="7" state="visible" r:id="rId9"/>
    <sheet name="DCF" sheetId="8" state="visible" r:id="rId10"/>
    <sheet name="Scenarios" sheetId="9" state="visible" r:id="rId11"/>
    <sheet name="Quarterly Tracker" sheetId="10" state="visible" r:id="rId12"/>
    <sheet name="Driver Tree" sheetId="11" state="visible" r:id="rId13"/>
    <sheet name="Competition" sheetId="12" state="visible" r:id="rId14"/>
    <sheet name="Thesis Breakers" sheetId="13" state="visible" r:id="rId15"/>
    <sheet name="Checks" sheetId="14" state="visible" r:id="rId16"/>
    <sheet name="Source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B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9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1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1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15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1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B1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B1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B20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2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2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B25" authorId="0">
      <text>
        <r>
          <rPr>
            <sz val="10"/>
            <rFont val="Arial"/>
            <family val="2"/>
          </rPr>
          <t xml:space="preserve">Source: IAR FY26 · Consolidated Balance Sheet
Page: 459
Verified: Yes</t>
        </r>
      </text>
    </comment>
    <comment ref="B2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443
Verified: Yes</t>
        </r>
      </text>
    </comment>
    <comment ref="B4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B4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B48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B52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B5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B54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B5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C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9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1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1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15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1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C1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C1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C20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2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2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C25" authorId="0">
      <text>
        <r>
          <rPr>
            <sz val="10"/>
            <rFont val="Arial"/>
            <family val="2"/>
          </rPr>
          <t xml:space="preserve">Source: IAR FY26 · Consolidated Balance Sheet
Page: 459
Verified: Yes</t>
        </r>
      </text>
    </comment>
    <comment ref="C2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443
Verified: Yes</t>
        </r>
      </text>
    </comment>
    <comment ref="C4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4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48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49" authorId="0">
      <text>
        <r>
          <rPr>
            <sz val="10"/>
            <rFont val="Arial"/>
            <family val="2"/>
          </rPr>
          <t xml:space="preserve">Source: Results releases via PCI Mag / Quartr / GuruFocus
Page: n/a
Verified: Partial</t>
        </r>
      </text>
    </comment>
    <comment ref="C50" authorId="0">
      <text>
        <r>
          <rPr>
            <sz val="10"/>
            <rFont val="Arial"/>
            <family val="2"/>
          </rPr>
          <t xml:space="preserve">Source: As above
Page: n/a
Verified: Partial</t>
        </r>
      </text>
    </comment>
    <comment ref="C52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5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54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5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D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9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1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1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15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1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D1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D1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D20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2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2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D25" authorId="0">
      <text>
        <r>
          <rPr>
            <sz val="10"/>
            <rFont val="Arial"/>
            <family val="2"/>
          </rPr>
          <t xml:space="preserve">Source: IAR FY26 · Consolidated Balance Sheet
Page: 459
Verified: Yes</t>
        </r>
      </text>
    </comment>
    <comment ref="D2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443
Verified: Yes</t>
        </r>
      </text>
    </comment>
    <comment ref="D40" authorId="0">
      <text>
        <r>
          <rPr>
            <sz val="10"/>
            <rFont val="Arial"/>
            <family val="2"/>
          </rPr>
          <t xml:space="preserve">Source: IAR FY26 · Financial Review (MD&amp;A)
Page: 60–61
Verified: Yes</t>
        </r>
      </text>
    </comment>
    <comment ref="D41" authorId="0">
      <text>
        <r>
          <rPr>
            <sz val="10"/>
            <rFont val="Arial"/>
            <family val="2"/>
          </rPr>
          <t xml:space="preserve">Source: IAR FY26 · Financial Review (MD&amp;A)
Page: 60–61
Verified: Yes</t>
        </r>
      </text>
    </comment>
    <comment ref="D42" authorId="0">
      <text>
        <r>
          <rPr>
            <sz val="10"/>
            <rFont val="Arial"/>
            <family val="2"/>
          </rPr>
          <t xml:space="preserve">Source: IAR FY26 · Financial Review (MD&amp;A)
Page: 60–61
Verified: Yes</t>
        </r>
      </text>
    </comment>
    <comment ref="D4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4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48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49" authorId="0">
      <text>
        <r>
          <rPr>
            <sz val="10"/>
            <rFont val="Arial"/>
            <family val="2"/>
          </rPr>
          <t xml:space="preserve">Source: Results releases via PCI Mag / Quartr / GuruFocus
Page: n/a
Verified: Partial</t>
        </r>
      </text>
    </comment>
    <comment ref="D50" authorId="0">
      <text>
        <r>
          <rPr>
            <sz val="10"/>
            <rFont val="Arial"/>
            <family val="2"/>
          </rPr>
          <t xml:space="preserve">Source: As above
Page: n/a
Verified: Partial</t>
        </r>
      </text>
    </comment>
    <comment ref="D52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5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54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5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E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9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1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1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15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16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E1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E18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Yes (all years)</t>
        </r>
      </text>
    </comment>
    <comment ref="E20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22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23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442
Verified: FY24–26: Yes</t>
        </r>
      </text>
    </comment>
    <comment ref="E25" authorId="0">
      <text>
        <r>
          <rPr>
            <sz val="10"/>
            <rFont val="Arial"/>
            <family val="2"/>
          </rPr>
          <t xml:space="preserve">Source: IAR FY26 · Consolidated Balance Sheet
Page: 459
Verified: Yes</t>
        </r>
      </text>
    </comment>
    <comment ref="E27" authorId="0">
      <text>
        <r>
          <rPr>
            <sz val="10"/>
            <rFont val="Arial"/>
            <family val="2"/>
          </rPr>
          <t xml:space="preserve">Source: IAR FY26 · Consolidated P&amp;L / IAR FY25 · Consolidated P&amp;L
Page: 461 / 443
Verified: Yes</t>
        </r>
      </text>
    </comment>
    <comment ref="E40" authorId="0">
      <text>
        <r>
          <rPr>
            <sz val="10"/>
            <rFont val="Arial"/>
            <family val="2"/>
          </rPr>
          <t xml:space="preserve">Source: IAR FY26 · Financial Review (MD&amp;A)
Page: 60–61
Verified: Yes</t>
        </r>
      </text>
    </comment>
    <comment ref="E41" authorId="0">
      <text>
        <r>
          <rPr>
            <sz val="10"/>
            <rFont val="Arial"/>
            <family val="2"/>
          </rPr>
          <t xml:space="preserve">Source: IAR FY26 · Financial Review (MD&amp;A)
Page: 60–61
Verified: Yes</t>
        </r>
      </text>
    </comment>
    <comment ref="E42" authorId="0">
      <text>
        <r>
          <rPr>
            <sz val="10"/>
            <rFont val="Arial"/>
            <family val="2"/>
          </rPr>
          <t xml:space="preserve">Source: IAR FY26 · Financial Review (MD&amp;A)
Page: 60–61
Verified: Yes</t>
        </r>
      </text>
    </comment>
    <comment ref="E4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4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48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49" authorId="0">
      <text>
        <r>
          <rPr>
            <sz val="10"/>
            <rFont val="Arial"/>
            <family val="2"/>
          </rPr>
          <t xml:space="preserve">Source: Results releases via PCI Mag / Quartr / GuruFocus
Page: n/a
Verified: Partial</t>
        </r>
      </text>
    </comment>
    <comment ref="E50" authorId="0">
      <text>
        <r>
          <rPr>
            <sz val="10"/>
            <rFont val="Arial"/>
            <family val="2"/>
          </rPr>
          <t xml:space="preserve">Source: As above
Page: n/a
Verified: Partial</t>
        </r>
      </text>
    </comment>
    <comment ref="E52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53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54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55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B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B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</t>
        </r>
      </text>
    </comment>
    <comment ref="B1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B1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B1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1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18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2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2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22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2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B24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C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C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</t>
        </r>
      </text>
    </comment>
    <comment ref="C1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C1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C1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15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C1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C1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18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1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C2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2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22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2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C24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D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D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</t>
        </r>
      </text>
    </comment>
    <comment ref="D1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D1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D1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15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D1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D1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18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1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D2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2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22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2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D24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E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E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</t>
        </r>
      </text>
    </comment>
    <comment ref="E1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E1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Sheet; FY23: IAR FY25 CF reconciliation
Page: 459 / 440 / 448
Verified: Yes (all years)</t>
        </r>
      </text>
    </comment>
    <comment ref="E1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15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E16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E17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18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19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Yes</t>
        </r>
      </text>
    </comment>
    <comment ref="E20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21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22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23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  <comment ref="E24" authorId="0">
      <text>
        <r>
          <rPr>
            <sz val="10"/>
            <rFont val="Arial"/>
            <family val="2"/>
          </rPr>
          <t xml:space="preserve">Source: IAR FY26 · Consolidated Balance Sheet / IAR FY25 · Consolidated Balance Sheet
Page: 459 / 440
Verified: FY24–26: Yes; FY23: No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
Verified: FY24–26: Yes; FY23: No</t>
        </r>
      </text>
    </comment>
    <comment ref="B6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FY24–26: Yes; FY23: No</t>
        </r>
      </text>
    </comment>
    <comment ref="B8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447
Verified: FY24–26: Yes; FY23: No</t>
        </r>
      </text>
    </comment>
    <comment ref="B9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FY24–26: Yes; FY23: No</t>
        </r>
      </text>
    </comment>
    <comment ref="B19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5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
Verified: FY24–26: Yes; FY23: No</t>
        </r>
      </text>
    </comment>
    <comment ref="C6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FY24–26: Yes; FY23: No</t>
        </r>
      </text>
    </comment>
    <comment ref="C7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Yes</t>
        </r>
      </text>
    </comment>
    <comment ref="C8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447
Verified: FY24–26: Yes; FY23: No</t>
        </r>
      </text>
    </comment>
    <comment ref="C9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FY24–26: Yes; FY23: No</t>
        </r>
      </text>
    </comment>
    <comment ref="C12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C14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C19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C21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D5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
Verified: FY24–26: Yes; FY23: No</t>
        </r>
      </text>
    </comment>
    <comment ref="D6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FY24–26: Yes; FY23: No</t>
        </r>
      </text>
    </comment>
    <comment ref="D7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Yes</t>
        </r>
      </text>
    </comment>
    <comment ref="D8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447
Verified: FY24–26: Yes; FY23: No</t>
        </r>
      </text>
    </comment>
    <comment ref="D9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FY24–26: Yes; FY23: No</t>
        </r>
      </text>
    </comment>
    <comment ref="D12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D14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D19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D21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E5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
Verified: FY24–26: Yes; FY23: No</t>
        </r>
      </text>
    </comment>
    <comment ref="E6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FY24–26: Yes; FY23: No</t>
        </r>
      </text>
    </comment>
    <comment ref="E7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446–447
Verified: Yes</t>
        </r>
      </text>
    </comment>
    <comment ref="E8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465 / 447
Verified: FY24–26: Yes; FY23: No</t>
        </r>
      </text>
    </comment>
    <comment ref="E9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FY24–26: Yes; FY23: No</t>
        </r>
      </text>
    </comment>
    <comment ref="E12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E14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  <comment ref="E19" authorId="0">
      <text>
        <r>
          <rPr>
            <sz val="10"/>
            <rFont val="Arial"/>
            <family val="2"/>
          </rPr>
          <t xml:space="preserve">Source: IAR FY26 · Ten-Year Review (MD&amp;A)
Page: 78–79
Verified: Yes</t>
        </r>
      </text>
    </comment>
    <comment ref="E21" authorId="0">
      <text>
        <r>
          <rPr>
            <sz val="10"/>
            <rFont val="Arial"/>
            <family val="2"/>
          </rPr>
          <t xml:space="preserve">Source: IAR FY26 · Consolidated Cash Flow / IAR FY25 · Consolidated Cash Flow
Page: 466 / 447
Verified: Yes</t>
        </r>
      </text>
    </comment>
  </commentList>
</comments>
</file>

<file path=xl/sharedStrings.xml><?xml version="1.0" encoding="utf-8"?>
<sst xmlns="http://schemas.openxmlformats.org/spreadsheetml/2006/main" count="1571" uniqueCount="1002">
  <si>
    <t xml:space="preserve">Asian Paints Ltd (NSE: ASIANPAINT)</t>
  </si>
  <si>
    <t xml:space="preserve">Equity Research — Initiation · Financial model</t>
  </si>
  <si>
    <t xml:space="preserve">Analyst: Anay Sharma · Student research · Market data as of 17-Sep-2026 · ₹ crore unless stated</t>
  </si>
  <si>
    <t xml:space="preserve">MODEL SUMMARY</t>
  </si>
  <si>
    <t xml:space="preserve">Rating</t>
  </si>
  <si>
    <t xml:space="preserve">FY26A EPS (₹)</t>
  </si>
  <si>
    <t xml:space="preserve">Current share price (₹, 17-Sep-2026)</t>
  </si>
  <si>
    <t xml:space="preserve">FY27E EPS (₹)</t>
  </si>
  <si>
    <t xml:space="preserve">12-month target price (₹)</t>
  </si>
  <si>
    <t xml:space="preserve">FY28E EPS (₹)</t>
  </si>
  <si>
    <t xml:space="preserve">Upside / (downside)</t>
  </si>
  <si>
    <t xml:space="preserve">FY28E P/E at current price</t>
  </si>
  <si>
    <t xml:space="preserve">DCF value per share (₹, cross-check)</t>
  </si>
  <si>
    <t xml:space="preserve">Revenue CAGR FY26A–FY28E</t>
  </si>
  <si>
    <t xml:space="preserve">Market-implied perpetual growth</t>
  </si>
  <si>
    <t xml:space="preserve">FY28E EBITDA margin (excl. OI)</t>
  </si>
  <si>
    <t xml:space="preserve">VALUATION SUMMARY</t>
  </si>
  <si>
    <t xml:space="preserve">Method</t>
  </si>
  <si>
    <t xml:space="preserve">Key input</t>
  </si>
  <si>
    <t xml:space="preserve">Value / share</t>
  </si>
  <si>
    <t xml:space="preserve">vs price</t>
  </si>
  <si>
    <t xml:space="preserve">Role in the rating</t>
  </si>
  <si>
    <t xml:space="preserve">P/E on FY28E EPS (primary)</t>
  </si>
  <si>
    <t xml:space="preserve">Sets the 12-month target</t>
  </si>
  <si>
    <t xml:space="preserve">Three-stage DCF (cross-check)</t>
  </si>
  <si>
    <t xml:space="preserve">Shows how much long-term growth is already priced in</t>
  </si>
  <si>
    <t xml:space="preserve">Scenario-weighted (25/50/25)</t>
  </si>
  <si>
    <t xml:space="preserve">Bear / base / bull</t>
  </si>
  <si>
    <t xml:space="preserve">Checks the skew of outcomes</t>
  </si>
  <si>
    <t xml:space="preserve">SCENARIOS — FY28E</t>
  </si>
  <si>
    <t xml:space="preserve">Metric</t>
  </si>
  <si>
    <t xml:space="preserve">Bear</t>
  </si>
  <si>
    <t xml:space="preserve">Base</t>
  </si>
  <si>
    <t xml:space="preserve">Bull</t>
  </si>
  <si>
    <t xml:space="preserve">What changes</t>
  </si>
  <si>
    <t xml:space="preserve">Decorative volume growth (FY28E)</t>
  </si>
  <si>
    <t xml:space="preserve">Assumption</t>
  </si>
  <si>
    <t xml:space="preserve">Price / mix (FY28E)</t>
  </si>
  <si>
    <t xml:space="preserve">Gross margin (FY28E)</t>
  </si>
  <si>
    <t xml:space="preserve">EBITDA margin</t>
  </si>
  <si>
    <t xml:space="preserve">Calculated</t>
  </si>
  <si>
    <t xml:space="preserve">EPS (₹)</t>
  </si>
  <si>
    <t xml:space="preserve">Target P/E</t>
  </si>
  <si>
    <t xml:space="preserve">Target price (₹)</t>
  </si>
  <si>
    <t xml:space="preserve">KEY ASSUMPTIONS — BASE CASE</t>
  </si>
  <si>
    <t xml:space="preserve">FY26A</t>
  </si>
  <si>
    <t xml:space="preserve">FY27E</t>
  </si>
  <si>
    <t xml:space="preserve">FY28E</t>
  </si>
  <si>
    <t xml:space="preserve">Anchor</t>
  </si>
  <si>
    <t xml:space="preserve">Decorative volume growth</t>
  </si>
  <si>
    <t xml:space="preserve">Guidance 8–10% for FY27</t>
  </si>
  <si>
    <t xml:space="preserve">Price / mix</t>
  </si>
  <si>
    <t xml:space="preserve">Q1 FY27 +7.0%; value &gt; volume guided</t>
  </si>
  <si>
    <t xml:space="preserve">International growth</t>
  </si>
  <si>
    <t xml:space="preserve">FY26 +9.4%; Q1 FY27 +27%</t>
  </si>
  <si>
    <t xml:space="preserve">Industrial growth</t>
  </si>
  <si>
    <t xml:space="preserve">FY26 +12.4%; 'mid-teens' guided</t>
  </si>
  <si>
    <t xml:space="preserve">Gross margin</t>
  </si>
  <si>
    <t xml:space="preserve">Not guided; Q1 FY27 standalone 43.8%</t>
  </si>
  <si>
    <t xml:space="preserve">Employee cost % revenue</t>
  </si>
  <si>
    <t xml:space="preserve">FY26 7.9%</t>
  </si>
  <si>
    <t xml:space="preserve">Other expenses % revenue</t>
  </si>
  <si>
    <t xml:space="preserve">FY26 17.1%</t>
  </si>
  <si>
    <t xml:space="preserve">EBITDA margin (result)</t>
  </si>
  <si>
    <t xml:space="preserve">Guidance 18–20%</t>
  </si>
  <si>
    <t xml:space="preserve">Capex % revenue</t>
  </si>
  <si>
    <t xml:space="preserve">FY26 4.1%</t>
  </si>
  <si>
    <t xml:space="preserve">Tax rate</t>
  </si>
  <si>
    <t xml:space="preserve">FY24–26: 25–28%</t>
  </si>
  <si>
    <t xml:space="preserve">WACC</t>
  </si>
  <si>
    <t xml:space="preserve">Calculated in DCF sheet from Assumptions inputs</t>
  </si>
  <si>
    <t xml:space="preserve">Terminal growth</t>
  </si>
  <si>
    <t xml:space="preserve">Valuation input (Assumptions sheet)</t>
  </si>
  <si>
    <t xml:space="preserve">Target P/E on FY28E EPS</t>
  </si>
  <si>
    <t xml:space="preserve">RESEARCH QUESTION AND ANSWER</t>
  </si>
  <si>
    <t xml:space="preserve">Question: can Asian Paints defend margins against Birla Opus while volumes recover — and does the price already pay for that recovery?
Answer: the recovery is real (volume 9%, price/mix positive again, EBITDA margin inside guidance), but at ~40x FY28E EPS and a market-implied ~9% perpetual growth rate, the price already assumes it continues. HOLD.</t>
  </si>
  <si>
    <t xml:space="preserve">WORKBOOK MAP</t>
  </si>
  <si>
    <t xml:space="preserve">Assumptions</t>
  </si>
  <si>
    <t xml:space="preserve">Every base-case input in one place: history, guidance, rationale, sensitivity</t>
  </si>
  <si>
    <t xml:space="preserve">Historicals</t>
  </si>
  <si>
    <t xml:space="preserve">FY23A–FY26A P&amp;L, segments and KPIs; each input row states source, page and verification status</t>
  </si>
  <si>
    <t xml:space="preserve">Forecast</t>
  </si>
  <si>
    <t xml:space="preserve">Revenue build (volume × price/mix by segment) → P&amp;L → FCFF, with a guidance check</t>
  </si>
  <si>
    <t xml:space="preserve">Balance Sheet / Cash Flow</t>
  </si>
  <si>
    <t xml:space="preserve">Filed FY24A–FY26A statements; working capital, returns, FCF after leases</t>
  </si>
  <si>
    <t xml:space="preserve">Valuation / DCF</t>
  </si>
  <si>
    <t xml:space="preserve">Historical P/E band, peers, target multiple, P/E and DCF sensitivities, reverse DCF</t>
  </si>
  <si>
    <t xml:space="preserve">Scenarios</t>
  </si>
  <si>
    <t xml:space="preserve">Bear / base / bull FY27E–FY28E with target prices</t>
  </si>
  <si>
    <t xml:space="preserve">Quarterly Tracker / Driver Tree</t>
  </si>
  <si>
    <t xml:space="preserve">Q1 FY26–Q1 FY27 results and guidance; how drivers map into the forecast</t>
  </si>
  <si>
    <t xml:space="preserve">Competition / Thesis Breakers</t>
  </si>
  <si>
    <t xml:space="preserve">Peer and Birla Opus comparison; thresholds that would prove the view wrong</t>
  </si>
  <si>
    <t xml:space="preserve">Checks / Sources</t>
  </si>
  <si>
    <t xml:space="preserve">26 reconciliation and integrity checks; full source log</t>
  </si>
  <si>
    <t xml:space="preserve">CONVENTIONS</t>
  </si>
  <si>
    <t xml:space="preserve">Blue text</t>
  </si>
  <si>
    <t xml:space="preserve">Hard-coded input (historical data from a source, or an assumption)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</si>
  <si>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</si>
  <si>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</si>
  <si>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</si>
  <si>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</si>
  <si>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</si>
  <si>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editable assumption</t>
  </si>
  <si>
    <t xml:space="preserve">A / E</t>
  </si>
  <si>
    <t xml:space="preserve">Actual (reported) / Estimate — estimate headers are shaded slate</t>
  </si>
  <si>
    <t xml:space="preserve">Assumption Log — base case (every forecast input lives here)</t>
  </si>
  <si>
    <t xml:space="preserve">Type: G = anchored to management guidance · A = analyst assumption · M = market data · Yellow = key driver</t>
  </si>
  <si>
    <t xml:space="preserve">FY29E</t>
  </si>
  <si>
    <t xml:space="preserve">FY30E</t>
  </si>
  <si>
    <t xml:space="preserve">FY31E</t>
  </si>
  <si>
    <t xml:space="preserve">Type</t>
  </si>
  <si>
    <t xml:space="preserve">Historical reference</t>
  </si>
  <si>
    <t xml:space="preserve">Management guidance</t>
  </si>
  <si>
    <t xml:space="preserve">Rationale / source</t>
  </si>
  <si>
    <t xml:space="preserve">Sensitivity</t>
  </si>
  <si>
    <t xml:space="preserve">REVENUE DRIVERS</t>
  </si>
  <si>
    <t xml:space="preserve">G/A</t>
  </si>
  <si>
    <t xml:space="preserve">FY24 10%* · FY25 2.5% · FY26 9.0% · Q1FY27 9.0%</t>
  </si>
  <si>
    <t xml:space="preserve">FY27: 8–10% (Q1FY27 call)</t>
  </si>
  <si>
    <t xml:space="preserve">FY27 = mid-point of guidance and equal to Q1 run-rate. Fades 50bp/yr from FY29 as Birla Opus keeps adding capacity.</t>
  </si>
  <si>
    <t xml:space="preserve">±1pp both years ≈ ±₹1.0 FY28E EPS</t>
  </si>
  <si>
    <t xml:space="preserve">Decorative price/mix (realisation)</t>
  </si>
  <si>
    <t xml:space="preserve">A</t>
  </si>
  <si>
    <t xml:space="preserve">FY24 −5.5% · FY25 −8.0% · FY26 −4.3% · Q1FY27 +7.0%</t>
  </si>
  <si>
    <t xml:space="preserve">FY27: value growth to exceed volume</t>
  </si>
  <si>
    <t xml:space="preserve">~10.5–11% cumulative price increases (Q4FY26) help H1; H2 laps them and competition limits further hikes. FY28+: +1% (premium mix offsets discounting).</t>
  </si>
  <si>
    <t xml:space="preserve">±1pp both years ≈ ±₹1.0 FY28E EPS; bear case uses −1% in FY28</t>
  </si>
  <si>
    <t xml:space="preserve">International revenue growth (INR)</t>
  </si>
  <si>
    <t xml:space="preserve">FY26 +9.4% (AR) · Q1FY27 +27.2%</t>
  </si>
  <si>
    <t xml:space="preserve">Not guided</t>
  </si>
  <si>
    <t xml:space="preserve">Q1 boosted by UAE/Egypt/Nepal; assume moderation. Currency risk in Egypt/Ethiopia/Sri Lanka.</t>
  </si>
  <si>
    <t xml:space="preserve">Small: 9% of sales</t>
  </si>
  <si>
    <t xml:space="preserve">Industrial revenue growth (AP-PPG)</t>
  </si>
  <si>
    <t xml:space="preserve">FY26 +12.4% (AR) · Q1FY27 'mid-teens'</t>
  </si>
  <si>
    <t xml:space="preserve">'Mid-teen trajectory' (Q1FY27)</t>
  </si>
  <si>
    <t xml:space="preserve">Below Q1 run-rate from FY28; auto/protective coatings capex-linked.</t>
  </si>
  <si>
    <t xml:space="preserve">Small: 4% of sales</t>
  </si>
  <si>
    <t xml:space="preserve">Other operating revenue (₹ cr)</t>
  </si>
  <si>
    <t xml:space="preserve">FY26 67.2 · FY25 108.3</t>
  </si>
  <si>
    <t xml:space="preserve">—</t>
  </si>
  <si>
    <t xml:space="preserve">Held flat (subsidies/scrap; falling trend).</t>
  </si>
  <si>
    <t xml:space="preserve">Negligible</t>
  </si>
  <si>
    <t xml:space="preserve">MARGIN DRIVERS</t>
  </si>
  <si>
    <t xml:space="preserve">Gross margin (on revenue from ops)</t>
  </si>
  <si>
    <t xml:space="preserve">FY23 38.7% · FY24 43.4% · FY25 42.4% · FY26 43.8%</t>
  </si>
  <si>
    <t xml:space="preserve">Not guided (Q1 standalone 43.8%)</t>
  </si>
  <si>
    <t xml:space="preserve">FY27 down ~100bp: crude-linked inputs with Brent ~$105 (Sep-26) and Q1FY27 standalone GM 43.8% vs 45.6% in Q4FY26. Partial recovery from VAE backward integration (Dahej plant producing from 17-Sep-26).</t>
  </si>
  <si>
    <t xml:space="preserve">±100bp GM ≈ ±₹3.4 FY28E EPS</t>
  </si>
  <si>
    <t xml:space="preserve">5.9% → 6.6% → 7.7% → 7.9% (FY23–26)</t>
  </si>
  <si>
    <t xml:space="preserve">Rose as revenue stalled; operating leverage as revenue grows 14% in FY27.</t>
  </si>
  <si>
    <t xml:space="preserve">±50bp ≈ ±₹1.7 EPS</t>
  </si>
  <si>
    <t xml:space="preserve">14.6% → 15.5% → 17.1% → 17.1%</t>
  </si>
  <si>
    <t xml:space="preserve">EBITDA 18–20% (FY27)</t>
  </si>
  <si>
    <t xml:space="preserve">Ad-spend and distribution stay elevated while Birla Opus competes; drifts up from FY29.</t>
  </si>
  <si>
    <t xml:space="preserve">D&amp;A % revenue</t>
  </si>
  <si>
    <t xml:space="preserve">2.5% → 2.4% → 3.0% → 3.5%</t>
  </si>
  <si>
    <t xml:space="preserve">New plants (Dahej VAE, white cement) keep it near FY26 level.</t>
  </si>
  <si>
    <t xml:space="preserve">Minor</t>
  </si>
  <si>
    <t xml:space="preserve">Other income % revenue</t>
  </si>
  <si>
    <t xml:space="preserve">1.1% → 1.9% → 1.7% → 2.0%</t>
  </si>
  <si>
    <t xml:space="preserve">Treasury income on ~₹7,000 cr cash &amp; liquid funds.</t>
  </si>
  <si>
    <t xml:space="preserve">Finance costs (₹ cr)</t>
  </si>
  <si>
    <t xml:space="preserve">144 → 205 → 227 → 195</t>
  </si>
  <si>
    <t xml:space="preserve">Mostly lease interest plus new capex borrowing.</t>
  </si>
  <si>
    <t xml:space="preserve">Effective tax rate</t>
  </si>
  <si>
    <t xml:space="preserve">26.7% → 24.8% → 28.1% → 27.6%</t>
  </si>
  <si>
    <t xml:space="preserve">FY25–26 lifted by non-deductible impairments; 26% normalised.</t>
  </si>
  <si>
    <t xml:space="preserve">±1pp ≈ ±₹0.8 EPS</t>
  </si>
  <si>
    <t xml:space="preserve">Associates less NCI (₹ cr)</t>
  </si>
  <si>
    <t xml:space="preserve">FY26: +165.6 − 69.3 = 96.3</t>
  </si>
  <si>
    <t xml:space="preserve">Held near FY26.</t>
  </si>
  <si>
    <t xml:space="preserve">WORKING CAPITAL &amp; CAPEX</t>
  </si>
  <si>
    <t xml:space="preserve">Inventory days (on revenue)</t>
  </si>
  <si>
    <t xml:space="preserve">65.7 · 60.9 · 72.3 · 58.9</t>
  </si>
  <si>
    <t xml:space="preserve">Near FY24/FY26 levels; FY25 spike reversed.</t>
  </si>
  <si>
    <t xml:space="preserve">Cash flow only</t>
  </si>
  <si>
    <t xml:space="preserve">Receivable days</t>
  </si>
  <si>
    <t xml:space="preserve">49.1 · 50.3 · 46.4 · 45.8</t>
  </si>
  <si>
    <t xml:space="preserve">B2B growth offsets tighter credit.</t>
  </si>
  <si>
    <t xml:space="preserve">Payable days</t>
  </si>
  <si>
    <t xml:space="preserve">38.5 · 39.4 · 41.4 · 39.6</t>
  </si>
  <si>
    <t xml:space="preserve">Stable.</t>
  </si>
  <si>
    <t xml:space="preserve">PPE capex: 6.2% FY24 · 5.3% FY25 · 4.1% FY26</t>
  </si>
  <si>
    <t xml:space="preserve">VAM/VAE ecosystem and white cement in FY27; then maintenance + capacity.</t>
  </si>
  <si>
    <t xml:space="preserve">DCF only</t>
  </si>
  <si>
    <t xml:space="preserve">VALUATION INPUTS (single value, column B)</t>
  </si>
  <si>
    <t xml:space="preserve">Risk-free rate (India 10Y G-sec)</t>
  </si>
  <si>
    <t xml:space="preserve">M</t>
  </si>
  <si>
    <t xml:space="preserve">~7.1% on 15-Sep-2026 (Trading Economics; verify on RBI/CCIL).</t>
  </si>
  <si>
    <t xml:space="preserve">See DCF grid</t>
  </si>
  <si>
    <t xml:space="preserve">Equity beta</t>
  </si>
  <si>
    <t xml:space="preserve">Assumption for a low-beta consumer stock; verify with 2-year weekly beta vs Nifty 50.</t>
  </si>
  <si>
    <t xml:space="preserve">±0.1 beta ≈ ±55bp WACC</t>
  </si>
  <si>
    <t xml:space="preserve">Equity risk premium</t>
  </si>
  <si>
    <t xml:space="preserve">Within commonly used 5–7% India range.</t>
  </si>
  <si>
    <t xml:space="preserve">Pre-tax cost of debt</t>
  </si>
  <si>
    <t xml:space="preserve">AAA-rated (Crisil, Sep-2026).</t>
  </si>
  <si>
    <t xml:space="preserve">Negligible (debt ~2% of capital)</t>
  </si>
  <si>
    <t xml:space="preserve">Below India's long-run nominal GDP growth; mature, competitive category.</t>
  </si>
  <si>
    <t xml:space="preserve">AP 3-yr median trailing 50x; Berger 43x</t>
  </si>
  <si>
    <t xml:space="preserve">Derived in Valuation sheet (evidence midpoint 46x, rounded down).</t>
  </si>
  <si>
    <t xml:space="preserve">±5x ≈ ±₹300 target</t>
  </si>
  <si>
    <t xml:space="preserve">Current market price (₹)</t>
  </si>
  <si>
    <t xml:space="preserve">NSE close 17-Sep-2026 (Screener). Update before sending.</t>
  </si>
  <si>
    <t xml:space="preserve">Asian Paints — Historical Financials (Consolidated, ₹ crore)</t>
  </si>
  <si>
    <t xml:space="preserve">FY ends 31 March · Blue = input from source · Black = formula · Green = link · Every input row states its source, page and verification status</t>
  </si>
  <si>
    <t xml:space="preserve">ACTUALS</t>
  </si>
  <si>
    <t xml:space="preserve">Line item</t>
  </si>
  <si>
    <t xml:space="preserve">FY23A</t>
  </si>
  <si>
    <t xml:space="preserve">FY24A</t>
  </si>
  <si>
    <t xml:space="preserve">FY25A</t>
  </si>
  <si>
    <t xml:space="preserve">Source (FY24–FY26 unless stated)</t>
  </si>
  <si>
    <t xml:space="preserve">Page</t>
  </si>
  <si>
    <t xml:space="preserve">Verified</t>
  </si>
  <si>
    <t xml:space="preserve">Note</t>
  </si>
  <si>
    <t xml:space="preserve">INCOME STATEMENT</t>
  </si>
  <si>
    <t xml:space="preserve">Revenue from operations</t>
  </si>
  <si>
    <t xml:space="preserve">IAR FY26 · Consolidated P&amp;L / IAR FY25 · Consolidated P&amp;L</t>
  </si>
  <si>
    <t xml:space="preserve">461 / 442</t>
  </si>
  <si>
    <t xml:space="preserve">Yes (all years)</t>
  </si>
  <si>
    <t xml:space="preserve">FY23 = 34,488.6 in Ten-Year Review (p.78–79)</t>
  </si>
  <si>
    <t xml:space="preserve">Cost of materials consumed</t>
  </si>
  <si>
    <t xml:space="preserve">FY24–26: Yes</t>
  </si>
  <si>
    <t xml:space="preserve">FY23 split from MarketsMojo; FY23 total material cost (row 10) ties to Ten-Year Review</t>
  </si>
  <si>
    <t xml:space="preserve">Purchases of stock-in-trade</t>
  </si>
  <si>
    <t xml:space="preserve">Change in inventories (FG, WIP, stock-in-trade)</t>
  </si>
  <si>
    <t xml:space="preserve">Total material cost (COGS)</t>
  </si>
  <si>
    <t xml:space="preserve">IAR FY26 · Ten-Year Review (MD&amp;A)</t>
  </si>
  <si>
    <t xml:space="preserve">78–79</t>
  </si>
  <si>
    <t xml:space="preserve">Ten-Year Review: 21,156.5 / 20,090.2 / 19,515.8 / 20,001.8</t>
  </si>
  <si>
    <t xml:space="preserve">Gross profit</t>
  </si>
  <si>
    <t xml:space="preserve">Employee benefits expense</t>
  </si>
  <si>
    <t xml:space="preserve">FY23: employee + other (row 13) = 7,072.3 overheads in Ten-Year Review</t>
  </si>
  <si>
    <t xml:space="preserve">Other expenses</t>
  </si>
  <si>
    <t xml:space="preserve">Includes advertising, freight, power. A&amp;P split: see Note 27 (not yet extracted)</t>
  </si>
  <si>
    <t xml:space="preserve">EBITDA excl. other income (model definition)</t>
  </si>
  <si>
    <t xml:space="preserve">Company's EBITDA line INCLUDES other income (FY26: 7,419.72). Model uses operating EBITDA excl. other income.</t>
  </si>
  <si>
    <t xml:space="preserve">Other income</t>
  </si>
  <si>
    <t xml:space="preserve">Finance costs</t>
  </si>
  <si>
    <t xml:space="preserve">Depreciation &amp; amortisation</t>
  </si>
  <si>
    <t xml:space="preserve">Exceptional items</t>
  </si>
  <si>
    <t xml:space="preserve">FY25: goodwill/intangible impairment (White Teak, Causeway) + Indonesia exit; FY26: White Teak impairment + Labour Code</t>
  </si>
  <si>
    <t xml:space="preserve">PBT (before share of associates)</t>
  </si>
  <si>
    <t xml:space="preserve">Company PBT includes associates: FY26 6,003.44 = this row + row 22 (see Checks)</t>
  </si>
  <si>
    <t xml:space="preserve">Tax expense</t>
  </si>
  <si>
    <t xml:space="preserve">PAT before associates &amp; minority</t>
  </si>
  <si>
    <t xml:space="preserve">Share of profit of associates</t>
  </si>
  <si>
    <t xml:space="preserve">Mainly PPG Asian Paints (PPGAP), an associate — its revenue is NOT in consolidated sales</t>
  </si>
  <si>
    <t xml:space="preserve">Non-controlling interest</t>
  </si>
  <si>
    <t xml:space="preserve">Net profit attributable to owners</t>
  </si>
  <si>
    <t xml:space="preserve">4,106.5 / 5,460.2 / 3,667.2 / 4,325.3</t>
  </si>
  <si>
    <t xml:space="preserve">Shares outstanding (crore)</t>
  </si>
  <si>
    <t xml:space="preserve">IAR FY26 · Consolidated Balance Sheet</t>
  </si>
  <si>
    <t xml:space="preserve">459</t>
  </si>
  <si>
    <t xml:space="preserve">Yes</t>
  </si>
  <si>
    <t xml:space="preserve">Equity capital ₹95.92 cr, FV ₹1</t>
  </si>
  <si>
    <t xml:space="preserve">EPS — model (₹, NP ÷ 95.92 cr shares)</t>
  </si>
  <si>
    <t xml:space="preserve">EPS — company-reported basic (₹)</t>
  </si>
  <si>
    <t xml:space="preserve">461 / 443</t>
  </si>
  <si>
    <t xml:space="preserve">Company uses weighted shares net of ESOP-trust treasury shares, so reported EPS is ~₹0.03 higher. FY23 from Ten-Year Review (1 decimal).</t>
  </si>
  <si>
    <t xml:space="preserve">MARGINS &amp; GROWTH</t>
  </si>
  <si>
    <t xml:space="preserve">Revenue growth</t>
  </si>
  <si>
    <t xml:space="preserve">Gross margin (on revenue from operations)</t>
  </si>
  <si>
    <t xml:space="preserve">EBITDA margin (excl. other income)</t>
  </si>
  <si>
    <t xml:space="preserve">Net margin (owners)</t>
  </si>
  <si>
    <t xml:space="preserve">Net profit growth</t>
  </si>
  <si>
    <t xml:space="preserve">SEGMENT REVENUE (company-reported, sale of products &amp; services)</t>
  </si>
  <si>
    <t xml:space="preserve">Decorative &amp; home décor</t>
  </si>
  <si>
    <t xml:space="preserve">IAR FY26 · Financial Review (MD&amp;A)</t>
  </si>
  <si>
    <t xml:space="preserve">60–61</t>
  </si>
  <si>
    <t xml:space="preserve">86.8% of FY26 sales. FY23–24 segment split: not yet extracted (FY24/FY23 AR)</t>
  </si>
  <si>
    <t xml:space="preserve">International</t>
  </si>
  <si>
    <t xml:space="preserve">Results release showed 3,339.7 for FY26 — small definitional gap vs AR segment table; AR used</t>
  </si>
  <si>
    <t xml:space="preserve">Industrial (AP-PPG only; PPGAP is an associate)</t>
  </si>
  <si>
    <t xml:space="preserve">IAR FY25 notes industrial revenue excludes PPGAP (associate)</t>
  </si>
  <si>
    <t xml:space="preserve">Consolidated net sales (company)</t>
  </si>
  <si>
    <t xml:space="preserve">Segment total (check vs row 43)</t>
  </si>
  <si>
    <t xml:space="preserve">Other operating revenue</t>
  </si>
  <si>
    <t xml:space="preserve">Net sales + other operating revenue = revenue from operations</t>
  </si>
  <si>
    <t xml:space="preserve">OPERATING KPIs</t>
  </si>
  <si>
    <t xml:space="preserve">Standalone net sales</t>
  </si>
  <si>
    <t xml:space="preserve">FY24 restated (Sleek, Maxbhumi amalgamation); FY25 restated (APPPL). Original FY24 release: 30,727.7</t>
  </si>
  <si>
    <t xml:space="preserve">Decorative India volume growth</t>
  </si>
  <si>
    <t xml:space="preserve">Results releases via PCI Mag / Quartr / GuruFocus</t>
  </si>
  <si>
    <t xml:space="preserve">n/a</t>
  </si>
  <si>
    <t xml:space="preserve">Partial</t>
  </si>
  <si>
    <t xml:space="preserve">FY24 = Decorative + Industrial combined (only combined disclosed). Verify against Q4 releases.</t>
  </si>
  <si>
    <t xml:space="preserve">Decorative India value growth</t>
  </si>
  <si>
    <t xml:space="preserve">As above</t>
  </si>
  <si>
    <t xml:space="preserve">Implied price/mix (realisation)</t>
  </si>
  <si>
    <t xml:space="preserve">Derived: (1+value)/(1+volume)−1. Company does not disclose price/mix directly.</t>
  </si>
  <si>
    <t xml:space="preserve">Company-reported gross margin (% of net sales)</t>
  </si>
  <si>
    <t xml:space="preserve">Company computes on net sales; model row 31 uses revenue from ops</t>
  </si>
  <si>
    <t xml:space="preserve">Company-reported ROCE (consolidated)</t>
  </si>
  <si>
    <t xml:space="preserve">Includes other income; model ROCE (BS sheet) excludes it</t>
  </si>
  <si>
    <t xml:space="preserve">Company-reported return on net worth</t>
  </si>
  <si>
    <t xml:space="preserve">Market capitalisation at 31 March (₹ cr)</t>
  </si>
  <si>
    <t xml:space="preserve">Used for historical P/E in Valuation sheet</t>
  </si>
  <si>
    <t xml:space="preserve">Driver-Based Forecast — FY25A to FY31E (₹ crore)</t>
  </si>
  <si>
    <t xml:space="preserve">Decorative revenue = prior year × (1 + volume) × (1 + price/mix). All inputs pulled from the Assumptions sheet. Column I says what each row is.</t>
  </si>
  <si>
    <t xml:space="preserve">HISTORICAL</t>
  </si>
  <si>
    <t xml:space="preserve">FORECAST</t>
  </si>
  <si>
    <t xml:space="preserve">Row type</t>
  </si>
  <si>
    <t xml:space="preserve">REVENUE BUILD</t>
  </si>
  <si>
    <t xml:space="preserve">Hist: fact · Fcst: assumption (guided)</t>
  </si>
  <si>
    <t xml:space="preserve">Price/mix (realisation)</t>
  </si>
  <si>
    <t xml:space="preserve">Hist: derived fact · Fcst: assumption</t>
  </si>
  <si>
    <t xml:space="preserve">Decorative &amp; home décor growth</t>
  </si>
  <si>
    <t xml:space="preserve">Calculated = (1+vol)×(1+price/mix)−1</t>
  </si>
  <si>
    <t xml:space="preserve">Decorative &amp; home décor revenue</t>
  </si>
  <si>
    <t xml:space="preserve">International revenue</t>
  </si>
  <si>
    <t xml:space="preserve">Assumption (guided 'mid-teens')</t>
  </si>
  <si>
    <t xml:space="preserve">Industrial revenue</t>
  </si>
  <si>
    <t xml:space="preserve">Calculated (FY25–26 tie to filings — see Checks)</t>
  </si>
  <si>
    <t xml:space="preserve">PROFIT &amp; LOSS</t>
  </si>
  <si>
    <t xml:space="preserve">Assumption (not guided)</t>
  </si>
  <si>
    <t xml:space="preserve">Employee cost</t>
  </si>
  <si>
    <t xml:space="preserve">EBITDA (excl. other income)</t>
  </si>
  <si>
    <t xml:space="preserve">Calculated · guidance 18–20%</t>
  </si>
  <si>
    <t xml:space="preserve">D&amp;A</t>
  </si>
  <si>
    <t xml:space="preserve">EBIT</t>
  </si>
  <si>
    <t xml:space="preserve">Calculated from assumption</t>
  </si>
  <si>
    <t xml:space="preserve">PBT before exceptional items &amp; associates</t>
  </si>
  <si>
    <t xml:space="preserve">Calculated (no exceptionals forecast)</t>
  </si>
  <si>
    <t xml:space="preserve">PAT before associates &amp; NCI</t>
  </si>
  <si>
    <t xml:space="preserve">Associates less NCI</t>
  </si>
  <si>
    <t xml:space="preserve">Net profit to owners</t>
  </si>
  <si>
    <t xml:space="preserve">Calculated · FY25–26 after exceptionals</t>
  </si>
  <si>
    <t xml:space="preserve">EPS growth</t>
  </si>
  <si>
    <t xml:space="preserve">FY27 flattered: FY26 had ₹158 cr exceptional charges</t>
  </si>
  <si>
    <t xml:space="preserve">Inventory days</t>
  </si>
  <si>
    <t xml:space="preserve">Trade working capital</t>
  </si>
  <si>
    <t xml:space="preserve">Increase in working capital</t>
  </si>
  <si>
    <t xml:space="preserve">Capex</t>
  </si>
  <si>
    <t xml:space="preserve">FREE CASH FLOW TO FIRM</t>
  </si>
  <si>
    <t xml:space="preserve">NOPAT = EBIT × (1 − tax)</t>
  </si>
  <si>
    <t xml:space="preserve">+ D&amp;A</t>
  </si>
  <si>
    <t xml:space="preserve">− Capex</t>
  </si>
  <si>
    <t xml:space="preserve">− Increase in working capital</t>
  </si>
  <si>
    <t xml:space="preserve">FCFF</t>
  </si>
  <si>
    <t xml:space="preserve">Calculated (pre-lease; leases treated as debt in EV bridge)</t>
  </si>
  <si>
    <t xml:space="preserve">FCFF margin</t>
  </si>
  <si>
    <t xml:space="preserve">Reinvestment rate</t>
  </si>
  <si>
    <t xml:space="preserve">(Capex − D&amp;A + ΔWC) / NOPAT</t>
  </si>
  <si>
    <t xml:space="preserve">GUIDANCE CHECK (does the model stay inside what management has said?)</t>
  </si>
  <si>
    <t xml:space="preserve">FY27 decorative volume inside 8–10% guidance?</t>
  </si>
  <si>
    <t xml:space="preserve">EBITDA margin inside 18–20% guidance?</t>
  </si>
  <si>
    <t xml:space="preserve">FY27 value growth above volume growth (as guided)?</t>
  </si>
  <si>
    <t xml:space="preserve">Balance Sheet, Working Capital &amp; Returns (Consolidated, ₹ crore)</t>
  </si>
  <si>
    <t xml:space="preserve">As at 31 March · FY24–FY26 from audited balance sheets; FY23 partly from aggregator (flagged)</t>
  </si>
  <si>
    <t xml:space="preserve">Source</t>
  </si>
  <si>
    <t xml:space="preserve">EQUITY &amp; LIABILITIES</t>
  </si>
  <si>
    <t xml:space="preserve">Equity share capital</t>
  </si>
  <si>
    <t xml:space="preserve">IAR FY26 · Consolidated Balance Sheet / IAR FY25 · Consolidated Balance Sheet</t>
  </si>
  <si>
    <t xml:space="preserve">459 / 440</t>
  </si>
  <si>
    <t xml:space="preserve">Other equity</t>
  </si>
  <si>
    <t xml:space="preserve">FY23 also in Ten-Year Review (15,896.3)</t>
  </si>
  <si>
    <t xml:space="preserve">Equity attributable to owners</t>
  </si>
  <si>
    <t xml:space="preserve">Non-controlling interests</t>
  </si>
  <si>
    <t xml:space="preserve">FY23 from IAR FY25 statement of changes in equity (453.66)</t>
  </si>
  <si>
    <t xml:space="preserve">Borrowings (non-current + current)</t>
  </si>
  <si>
    <t xml:space="preserve">IAR FY26 · Consolidated Balance Sheet / IAR FY25 · Consolidated Balance Sheet; FY23: IAR FY25 CF reconciliation</t>
  </si>
  <si>
    <t xml:space="preserve">459 / 440 / 448</t>
  </si>
  <si>
    <t xml:space="preserve">FY26 rise funds capex (company note to debt-equity ratio)</t>
  </si>
  <si>
    <t xml:space="preserve">Lease liabilities (non-current + current)</t>
  </si>
  <si>
    <t xml:space="preserve">v1 derived these from Screener (e.g. FY26 1,635.74); replaced with filed figures</t>
  </si>
  <si>
    <t xml:space="preserve">Total debt incl. leases</t>
  </si>
  <si>
    <t xml:space="preserve">Trade payables</t>
  </si>
  <si>
    <t xml:space="preserve">FY24–26: Yes; FY23: No</t>
  </si>
  <si>
    <t xml:space="preserve">FY23 from MarketsMojo — verify in IAR FY24</t>
  </si>
  <si>
    <t xml:space="preserve">ASSETS</t>
  </si>
  <si>
    <t xml:space="preserve">Property, plant &amp; equipment (excl. ROU)</t>
  </si>
  <si>
    <t xml:space="preserve">FY23: not yet extracted</t>
  </si>
  <si>
    <t xml:space="preserve">Right-of-use assets</t>
  </si>
  <si>
    <t xml:space="preserve">Capital work-in-progress</t>
  </si>
  <si>
    <t xml:space="preserve">Non-current investments (incl. associates)</t>
  </si>
  <si>
    <t xml:space="preserve">FY26 fall: sale of Akzo Nobel India stake (₹923 cr proceeds)</t>
  </si>
  <si>
    <t xml:space="preserve">  of which: investments in associates</t>
  </si>
  <si>
    <t xml:space="preserve">Not cash — valued at book in the DCF bridge</t>
  </si>
  <si>
    <t xml:space="preserve">Current investments (mainly liquid funds)</t>
  </si>
  <si>
    <t xml:space="preserve">Inventories</t>
  </si>
  <si>
    <t xml:space="preserve">Trade receivables (current)</t>
  </si>
  <si>
    <t xml:space="preserve">Cash &amp; equivalents + other bank balances</t>
  </si>
  <si>
    <t xml:space="preserve">FY26: 672.83 + 400.85. Term deposits in 'other financial assets' are NOT included (conservative)</t>
  </si>
  <si>
    <t xml:space="preserve">Total assets (reported)</t>
  </si>
  <si>
    <t xml:space="preserve">CORRECTED: v1 used aggregator totals (e.g. FY26 34,518.75) that netted tax balances</t>
  </si>
  <si>
    <t xml:space="preserve">WORKING CAPITAL</t>
  </si>
  <si>
    <t xml:space="preserve">Total material cost</t>
  </si>
  <si>
    <t xml:space="preserve">Receivable days (on revenue)</t>
  </si>
  <si>
    <t xml:space="preserve">Payable days (on revenue)</t>
  </si>
  <si>
    <t xml:space="preserve">Trade working capital (Inv + Rec − Pay)</t>
  </si>
  <si>
    <t xml:space="preserve">Trade working capital days</t>
  </si>
  <si>
    <t xml:space="preserve">Inventory days on material cost (memo)</t>
  </si>
  <si>
    <t xml:space="preserve">Company-reported inventory turnover on COGS: 3.2x FY26, 3.1x FY25 (Financial Review p.60)</t>
  </si>
  <si>
    <t xml:space="preserve">RETURNS &amp; LEVERAGE</t>
  </si>
  <si>
    <t xml:space="preserve">EBIT (EBITDA excl. OI − D&amp;A)</t>
  </si>
  <si>
    <t xml:space="preserve">Capital employed (equity + NCI + debt incl. leases)</t>
  </si>
  <si>
    <t xml:space="preserve">ROE (on average equity)</t>
  </si>
  <si>
    <t xml:space="preserve">ROCE (EBIT excl. OI / avg capital employed)</t>
  </si>
  <si>
    <t xml:space="preserve">Stricter than company ROCE (27.6% FY26), which includes other income</t>
  </si>
  <si>
    <t xml:space="preserve">Cash + investments (incl. associates at book)</t>
  </si>
  <si>
    <t xml:space="preserve">Net debt / (net cash) incl. leases</t>
  </si>
  <si>
    <t xml:space="preserve">Debt incl. leases / equity</t>
  </si>
  <si>
    <t xml:space="preserve">Book value per share (₹)</t>
  </si>
  <si>
    <t xml:space="preserve">Check</t>
  </si>
  <si>
    <t xml:space="preserve">Company: 166.7 / 195.2 / 202.2 / 222.8</t>
  </si>
  <si>
    <t xml:space="preserve">Cash Flow Analysis (Consolidated, ₹ crore)</t>
  </si>
  <si>
    <t xml:space="preserve">FY24–FY26 from audited cash flow statements; FY23 from aggregator (flagged)</t>
  </si>
  <si>
    <t xml:space="preserve">Cash from operating activities (CFO)</t>
  </si>
  <si>
    <t xml:space="preserve">IAR FY26 · Consolidated Cash Flow / IAR FY25 · Consolidated Cash Flow</t>
  </si>
  <si>
    <t xml:space="preserve">465 / 446</t>
  </si>
  <si>
    <t xml:space="preserve">FY23 from Screener</t>
  </si>
  <si>
    <t xml:space="preserve">Capex: purchase of PPE &amp; intangibles</t>
  </si>
  <si>
    <t xml:space="preserve">465 / 446–447</t>
  </si>
  <si>
    <t xml:space="preserve">FY23 = Screener CFO − FCF (includes ROU payments) — not like-for-like</t>
  </si>
  <si>
    <t xml:space="preserve">Payments for right-of-use assets</t>
  </si>
  <si>
    <t xml:space="preserve">Cash from investing activities</t>
  </si>
  <si>
    <t xml:space="preserve">465 / 447</t>
  </si>
  <si>
    <t xml:space="preserve">CORRECTED: Screener showed −2,548 / −941 / −1,328</t>
  </si>
  <si>
    <t xml:space="preserve">Cash from financing activities</t>
  </si>
  <si>
    <t xml:space="preserve">466 / 447</t>
  </si>
  <si>
    <t xml:space="preserve">Net change in cash (CFO + CFI + CFF)</t>
  </si>
  <si>
    <t xml:space="preserve">Free cash flow (CFO − PPE capex)</t>
  </si>
  <si>
    <t xml:space="preserve">Lease principal repaid</t>
  </si>
  <si>
    <t xml:space="preserve">FCF after lease payments</t>
  </si>
  <si>
    <t xml:space="preserve">Stricter FCF: leases are an operating cost of the store/depot network</t>
  </si>
  <si>
    <t xml:space="preserve">Dividends paid (incl. to NCI)</t>
  </si>
  <si>
    <t xml:space="preserve">FY25 higher because FY24 final (₹28.15) paid in FY25</t>
  </si>
  <si>
    <t xml:space="preserve">CFO / EBITDA (excl. OI)</t>
  </si>
  <si>
    <t xml:space="preserve">FCF / net profit</t>
  </si>
  <si>
    <t xml:space="preserve">Capex / revenue</t>
  </si>
  <si>
    <t xml:space="preserve">Capex / D&amp;A</t>
  </si>
  <si>
    <t xml:space="preserve">Dividend per share (₹)</t>
  </si>
  <si>
    <t xml:space="preserve">From dividend % on ₹1 face value: 2565% / 3330% / 2480% / 2750%</t>
  </si>
  <si>
    <t xml:space="preserve">Dividend payout (DPS / reported EPS)</t>
  </si>
  <si>
    <t xml:space="preserve">Company payout policy 60% (before exceptional items)</t>
  </si>
  <si>
    <t xml:space="preserve">Company-reported net change in cash (for Checks)</t>
  </si>
  <si>
    <t xml:space="preserve">Valuation — P/E framework, peers, target price and sensitivities</t>
  </si>
  <si>
    <t xml:space="preserve">Primary method: P/E on FY28E EPS. Cross-check: DCF / reverse DCF (DCF sheet)</t>
  </si>
  <si>
    <t xml:space="preserve">A. ASIAN PAINTS HISTORICAL P/E — from company year-end market cap (Ten-Year Review)</t>
  </si>
  <si>
    <t xml:space="preserve">Year-end</t>
  </si>
  <si>
    <t xml:space="preserve">Market cap (₹ cr)</t>
  </si>
  <si>
    <t xml:space="preserve">PAT, same FY</t>
  </si>
  <si>
    <t xml:space="preserve">Trailing P/E</t>
  </si>
  <si>
    <t xml:space="preserve">PAT, next FY</t>
  </si>
  <si>
    <t xml:space="preserve">1-yr fwd P/E (realised)</t>
  </si>
  <si>
    <t xml:space="preserve">31-Mar-2022</t>
  </si>
  <si>
    <t xml:space="preserve">FY22 market cap &amp; PAT: Ten-Year Review p.78–79</t>
  </si>
  <si>
    <t xml:space="preserve">31-Mar-2023</t>
  </si>
  <si>
    <t xml:space="preserve">31-Mar-2024</t>
  </si>
  <si>
    <t xml:space="preserve">31-Mar-2025</t>
  </si>
  <si>
    <t xml:space="preserve">31-Mar-2026</t>
  </si>
  <si>
    <t xml:space="preserve">3-yr average / median trailing (FY24–26)</t>
  </si>
  <si>
    <t xml:space="preserve">5-yr average / median trailing (FY22–26)</t>
  </si>
  <si>
    <t xml:space="preserve">3-yr average / median 1-yr forward (Mar-23 to Mar-25)</t>
  </si>
  <si>
    <t xml:space="preserve">4-yr average / median 1-yr forward (Mar-22 to Mar-25)</t>
  </si>
  <si>
    <t xml:space="preserve">Columns B/C in rows 11–14 = average / median. Limitation: five year-end snapshots, not daily averages; FY22 and FY25 multiples are inflated by earnings dips. A daily-price series from NSE would give a more robust band.</t>
  </si>
  <si>
    <t xml:space="preserve">B. PEER COMPARISON (market data mid-Sep-2026; TTM = four quarters to Jun-2026)</t>
  </si>
  <si>
    <t xml:space="preserve">Company</t>
  </si>
  <si>
    <t xml:space="preserve">Mkt cap</t>
  </si>
  <si>
    <t xml:space="preserve">FY26 revenue</t>
  </si>
  <si>
    <t xml:space="preserve">FY25 revenue</t>
  </si>
  <si>
    <t xml:space="preserve">FY26 rev growth</t>
  </si>
  <si>
    <t xml:space="preserve">Q1FY27 rev growth</t>
  </si>
  <si>
    <t xml:space="preserve">TTM EBITDA</t>
  </si>
  <si>
    <t xml:space="preserve">TTM revenue</t>
  </si>
  <si>
    <t xml:space="preserve">TTM EBITDA margin</t>
  </si>
  <si>
    <t xml:space="preserve">Borrowings</t>
  </si>
  <si>
    <t xml:space="preserve">Investments</t>
  </si>
  <si>
    <t xml:space="preserve">EV</t>
  </si>
  <si>
    <t xml:space="preserve">EV / EBITDA</t>
  </si>
  <si>
    <t xml:space="preserve">P/E (TTM)</t>
  </si>
  <si>
    <t xml:space="preserve">ROCE</t>
  </si>
  <si>
    <t xml:space="preserve">ROE</t>
  </si>
  <si>
    <t xml:space="preserve">Asian Paints</t>
  </si>
  <si>
    <t xml:space="preserve">Berger Paints</t>
  </si>
  <si>
    <t xml:space="preserve">Kansai Nerolac</t>
  </si>
  <si>
    <t xml:space="preserve">Indigo Paints (standalone)</t>
  </si>
  <si>
    <t xml:space="preserve">Median of listed peers (ex-Asian Paints)</t>
  </si>
  <si>
    <t xml:space="preserve">Sources: Screener.in (Berger, Kansai consolidated; Indigo standalone), 17–18 Sep 2026 — aggregator, verify against each company's filings. EV = market cap + borrowings − investments (bank cash excluded for all, so EVs are slightly high). ROCE/ROE for all four are Screener figures for like-for-like comparison (Asian Paints' own reported ROCE is 27.6%). Forward consensus EPS for peers was not accessed, so peer forward P/Es are NOT shown. Birla Opus is not separately listed.</t>
  </si>
  <si>
    <t xml:space="preserve">C. HOW THE TARGET MULTIPLE IS DERIVED</t>
  </si>
  <si>
    <t xml:space="preserve">Asian Paints 3-yr median trailing P/E (year-end)</t>
  </si>
  <si>
    <t xml:space="preserve">Asian Paints current trailing P/E (CMP / TTM EPS)</t>
  </si>
  <si>
    <t xml:space="preserve">Berger Paints current trailing P/E</t>
  </si>
  <si>
    <t xml:space="preserve">Evidence midpoint = average(AP 3-yr median, Berger)</t>
  </si>
  <si>
    <t xml:space="preserve">Selected multiple (Assumptions)</t>
  </si>
  <si>
    <t xml:space="preserve">Selected minus midpoint</t>
  </si>
  <si>
    <t xml:space="preserve">Why a premium to Berger: faster growth (FY26 revenue +4.9% vs +2.9%; Q1FY27 +17.9% vs +12.0%), higher returns (ROCE 26.3% vs 21.6%), higher EBITDA margin (19.5% vs 15.6% TTM) and ~3x the revenue scale.</t>
  </si>
  <si>
    <t xml:space="preserve">Why a discount to Asian Paints' own history: returns have stepped down (company ROCE 39.7% FY24 → 27.6% FY26) and Birla Opus (~10% revenue share, ~24% of capacity) makes FY24-level margins unlikely to return.</t>
  </si>
  <si>
    <t xml:space="preserve">Rounding: midpoint rounded DOWN to 45x rather than up, because FY27 gross margin is under crude-linked pressure (Q1FY27 standalone GM 43.8% vs 45.6% in Q4FY26).</t>
  </si>
  <si>
    <t xml:space="preserve">Applied to FY28E EPS because a 12-month target (Sep-2027) sits inside FY28; FY27E would include the one-off benefit of lapping FY26 exceptional charges.</t>
  </si>
  <si>
    <t xml:space="preserve">D. TARGET PRICE AND WHAT THE CURRENT PRICE IMPLIES</t>
  </si>
  <si>
    <t xml:space="preserve">Rating (BUY &gt; +15%, SELL &lt; −10%, else HOLD)</t>
  </si>
  <si>
    <t xml:space="preserve">Implied FY28E P/E at current price</t>
  </si>
  <si>
    <t xml:space="preserve">Price at which upside would exceed 15% (₹)</t>
  </si>
  <si>
    <t xml:space="preserve">  → implied FY28E P/E at that price</t>
  </si>
  <si>
    <t xml:space="preserve">Price at which downside would exceed 10% (₹)</t>
  </si>
  <si>
    <t xml:space="preserve">E. SENSITIVITY — target price (₹): FY28E EPS (rows) × P/E (columns)</t>
  </si>
  <si>
    <t xml:space="preserve">FY28E EPS ↓  /  P/E →</t>
  </si>
  <si>
    <t xml:space="preserve">Shaded = at or above current price; outlined = base case</t>
  </si>
  <si>
    <t xml:space="preserve">-10% vs base EPS</t>
  </si>
  <si>
    <t xml:space="preserve">-5% vs base EPS</t>
  </si>
  <si>
    <t xml:space="preserve">+0% vs base EPS</t>
  </si>
  <si>
    <t xml:space="preserve">+5% vs base EPS</t>
  </si>
  <si>
    <t xml:space="preserve">+10% vs base EPS</t>
  </si>
  <si>
    <t xml:space="preserve">F. WHY P/E AND DCF GIVE DIFFERENT ANSWERS</t>
  </si>
  <si>
    <t xml:space="preserve">P/E asks: what will investors pay for next year's earnings? It embeds the market's own long-run assumptions without stating them, and moves mainly with EPS revisions and sentiment. ±5x on the multiple moves the target by ~₹300.</t>
  </si>
  <si>
    <t xml:space="preserve">DCF asks: what are the cash flows worth at an explicit discount rate? With a ~10.9% WACC and 6% terminal growth, 15 years of forecast cash flows are worth ~₹1,130/share. It is dominated by the gap between WACC and terminal growth: cutting WACC by 1pp and raising terminal growth by 1pp lifts the value by roughly half.</t>
  </si>
  <si>
    <t xml:space="preserve">The gap is the finding, not a mistake: at today's price the market is implying ~9% perpetual growth at a ~10.9% WACC (or an ~8.2% WACC at 6% growth) — i.e. it treats Asian Paints as a very long-duration compounder.</t>
  </si>
  <si>
    <t xml:space="preserve">How we use it: P/E sets the 12-month target because that is how the stock is priced; the DCF shows how little margin of safety there is if long-term growth or the multiple disappoints. That asymmetry is why the rating stops at HOLD.</t>
  </si>
  <si>
    <t xml:space="preserve">Discounted Cash Flow — three-stage (cross-check to P/E)</t>
  </si>
  <si>
    <t xml:space="preserve">Stage 1: FY27–FY31 driver forecast · Stage 2: FY32–FY41 growth fades linearly to terminal rate · Stage 3: Gordon terminal value</t>
  </si>
  <si>
    <t xml:space="preserve">COST OF CAPITAL (inputs linked from Assumptions)</t>
  </si>
  <si>
    <t xml:space="preserve">Risk-free rate</t>
  </si>
  <si>
    <t xml:space="preserve">Cost of equity (CAPM)</t>
  </si>
  <si>
    <t xml:space="preserve">Market capitalisation (₹ cr)</t>
  </si>
  <si>
    <t xml:space="preserve">Debt incl. leases (₹ cr)</t>
  </si>
  <si>
    <t xml:space="preserve">Weight of debt</t>
  </si>
  <si>
    <t xml:space="preserve">CASH FLOW SCHEDULE (₹ cr)</t>
  </si>
  <si>
    <t xml:space="preserve">FY32E</t>
  </si>
  <si>
    <t xml:space="preserve">FY33E</t>
  </si>
  <si>
    <t xml:space="preserve">FY34E</t>
  </si>
  <si>
    <t xml:space="preserve">FY35E</t>
  </si>
  <si>
    <t xml:space="preserve">FY36E</t>
  </si>
  <si>
    <t xml:space="preserve">FY37E</t>
  </si>
  <si>
    <t xml:space="preserve">FY38E</t>
  </si>
  <si>
    <t xml:space="preserve">FY39E</t>
  </si>
  <si>
    <t xml:space="preserve">FY40E</t>
  </si>
  <si>
    <t xml:space="preserve">FY41E</t>
  </si>
  <si>
    <t xml:space="preserve">Stage</t>
  </si>
  <si>
    <t xml:space="preserve">Stage 1</t>
  </si>
  <si>
    <t xml:space="preserve">Stage 2</t>
  </si>
  <si>
    <t xml:space="preserve">Revenue</t>
  </si>
  <si>
    <t xml:space="preserve">Discount period (mid-year, from 31-Mar-2026)</t>
  </si>
  <si>
    <t xml:space="preserve">Discount factor</t>
  </si>
  <si>
    <t xml:space="preserve">PV of FCFF</t>
  </si>
  <si>
    <t xml:space="preserve">VALUATION</t>
  </si>
  <si>
    <t xml:space="preserve">Sum of PV of FCFF (FY27–FY41)</t>
  </si>
  <si>
    <t xml:space="preserve">Terminal value at end-FY41</t>
  </si>
  <si>
    <t xml:space="preserve">PV of terminal value</t>
  </si>
  <si>
    <t xml:space="preserve">Enterprise value</t>
  </si>
  <si>
    <t xml:space="preserve">Terminal value as % of EV</t>
  </si>
  <si>
    <t xml:space="preserve">+ Cash &amp; investments incl. associates at book (FY26)</t>
  </si>
  <si>
    <t xml:space="preserve">− Debt incl. leases (FY26)</t>
  </si>
  <si>
    <t xml:space="preserve">− Non-controlling interests (FY26 book)</t>
  </si>
  <si>
    <t xml:space="preserve">Equity value</t>
  </si>
  <si>
    <t xml:space="preserve">DCF value per share (₹)</t>
  </si>
  <si>
    <t xml:space="preserve">Upside / (downside) vs CMP</t>
  </si>
  <si>
    <t xml:space="preserve">SENSITIVITY — DCF value per share (₹): WACC (rows) × terminal growth (columns)</t>
  </si>
  <si>
    <t xml:space="preserve">Stage-2 fade path held at base case; only discount rate and terminal growth change. Shaded cells ≥ current price. Base case ≈ WACC 10.9%, g 6.0% (between the 10.5% and 11.0% rows).</t>
  </si>
  <si>
    <t xml:space="preserve">WACC ↓  /  terminal growth →</t>
  </si>
  <si>
    <t xml:space="preserve">REVERSE DCF — what does today's price assume?</t>
  </si>
  <si>
    <t xml:space="preserve">Terminal growth that equates DCF value to CMP (at base WACC)</t>
  </si>
  <si>
    <t xml:space="preserve">WACC that equates DCF value to CMP (at base terminal growth)</t>
  </si>
  <si>
    <t xml:space="preserve">Both solved by bisection in the build script on base inputs (goal seek). If you change inputs, re-run: Data ▸ What-If ▸ Goal Seek (set B39 = B34 by changing Assumptions!B31, or the WACC inputs).</t>
  </si>
  <si>
    <t xml:space="preserve">Bear / Base / Bull Scenarios — FY27E–FY28E</t>
  </si>
  <si>
    <t xml:space="preserve">Base links to Assumptions. Bear and bull ranges are anchored to FY24–FY26 actuals and FY27 guidance (see column H)</t>
  </si>
  <si>
    <t xml:space="preserve">BEAR</t>
  </si>
  <si>
    <t xml:space="preserve">BASE</t>
  </si>
  <si>
    <t xml:space="preserve">BULL</t>
  </si>
  <si>
    <t xml:space="preserve">Driver</t>
  </si>
  <si>
    <t xml:space="preserve">Bear FY27E</t>
  </si>
  <si>
    <t xml:space="preserve">Bear FY28E</t>
  </si>
  <si>
    <t xml:space="preserve">Base FY27E</t>
  </si>
  <si>
    <t xml:space="preserve">Base FY28E</t>
  </si>
  <si>
    <t xml:space="preserve">Bull FY27E</t>
  </si>
  <si>
    <t xml:space="preserve">Bull FY28E</t>
  </si>
  <si>
    <t xml:space="preserve">Evidence for the range</t>
  </si>
  <si>
    <t xml:space="preserve">INPUTS  (blue = scenario input · green = base case linked from Assumptions)</t>
  </si>
  <si>
    <t xml:space="preserve">Bear: below the 8% guidance floor, between FY25 (2.5%) and FY26 (9%). Bull: top of 8–10% guidance; FY26 Q2/Q4 printed 10.9%/12.4%.</t>
  </si>
  <si>
    <t xml:space="preserve">Bear: price hikes partly reversed as Opus fills capacity; FY28 back to negative (FY24–26 were −4% to −8%). Bull: most of Q1FY27's +7% holds.</t>
  </si>
  <si>
    <t xml:space="preserve">FY26 +9.4%; Q1FY27 +27%. Bear includes currency pressure in Egypt / Ethiopia / Sri Lanka.</t>
  </si>
  <si>
    <t xml:space="preserve">FY26 +12.4%; Q1FY27 'mid-teens'.</t>
  </si>
  <si>
    <t xml:space="preserve">Bear ≈ FY25 trough (42.4%) less crude shock. Bull ≈ FY26 standalone level (44.4%) as VAE savings arrive.</t>
  </si>
  <si>
    <t xml:space="preserve">Bear: FY26 level (7.9%) less a little leverage. Bull: FY24-like leverage.</t>
  </si>
  <si>
    <t xml:space="preserve">Bear: ad-spend stays at FY26 intensity (17.1%). Bull: moderates toward FY24 (15.5%).</t>
  </si>
  <si>
    <t xml:space="preserve">Bear 40x: below Berger (43x) — no leadership premium. Bull 52x: ≈ AP 3-yr median trailing (50x) and ICICI Direct's 52x FY28E (Jun-2026).</t>
  </si>
  <si>
    <t xml:space="preserve">OUTPUTS  (calculated — do not overwrite)</t>
  </si>
  <si>
    <t xml:space="preserve">EBITDA (excl. OI)</t>
  </si>
  <si>
    <t xml:space="preserve">PBT</t>
  </si>
  <si>
    <t xml:space="preserve">SUMMARY</t>
  </si>
  <si>
    <t xml:space="preserve">Revenue (₹ cr)</t>
  </si>
  <si>
    <t xml:space="preserve">EBITDA (₹ cr)</t>
  </si>
  <si>
    <t xml:space="preserve">Illustrative probability weight</t>
  </si>
  <si>
    <t xml:space="preserve">Probability-weighted target (₹)</t>
  </si>
  <si>
    <t xml:space="preserve">Probability-weighted upside</t>
  </si>
  <si>
    <t xml:space="preserve">BEAR — 'FY25 again': Birla Opus fills its capacity with price-led offers, volume slips below guidance, price hikes are partly given back and crude stays above $100. Margins return to FY25 levels and the market removes the leadership premium.</t>
  </si>
  <si>
    <t xml:space="preserve">BASE — 'recovery within guidance': volume 8–9%, price/mix positive in FY27 then +1%, gross margin dips in FY27 and recovers, EBITDA margin stays inside 18–20%.</t>
  </si>
  <si>
    <t xml:space="preserve">BULL — 'FY24-type margins': volume at the top of guidance, most of the price increase sticks, VAE backward integration lifts gross margin to ~44.4% and ad-spend intensity eases.</t>
  </si>
  <si>
    <t xml:space="preserve">Quarterly Earnings Tracker — Q1 FY26 to Q1 FY27 (consolidated unless stated)</t>
  </si>
  <si>
    <t xml:space="preserve">Coverage log: what was reported, what management guided, what the Street expected, and what it means for the model</t>
  </si>
  <si>
    <t xml:space="preserve">Q1 FY26</t>
  </si>
  <si>
    <t xml:space="preserve">Q2 FY26</t>
  </si>
  <si>
    <t xml:space="preserve">Q3 FY26</t>
  </si>
  <si>
    <t xml:space="preserve">Q4 FY26</t>
  </si>
  <si>
    <t xml:space="preserve">Q1 FY27</t>
  </si>
  <si>
    <t xml:space="preserve">Source / basis</t>
  </si>
  <si>
    <t xml:space="preserve">Result date</t>
  </si>
  <si>
    <t xml:space="preserve">29-Jul-2025</t>
  </si>
  <si>
    <t xml:space="preserve">12-Nov-2025</t>
  </si>
  <si>
    <t xml:space="preserve">27-Jan-2026</t>
  </si>
  <si>
    <t xml:space="preserve">29-May-2026</t>
  </si>
  <si>
    <t xml:space="preserve">29-Jul-2026</t>
  </si>
  <si>
    <t xml:space="preserve">Revenue from operations (₹ cr)</t>
  </si>
  <si>
    <t xml:space="preserve">Results releases (via Screener/MarketsMojo/Upstox). Q1FY26 rounded.</t>
  </si>
  <si>
    <t xml:space="preserve">Revenue growth YoY</t>
  </si>
  <si>
    <t xml:space="preserve">As reported in coverage of each release</t>
  </si>
  <si>
    <t xml:space="preserve">Company releases / call summaries</t>
  </si>
  <si>
    <t xml:space="preserve">Q1FY26: −1.2% is standalone revenue (proxy) — verify decorative value in Q1FY26 release</t>
  </si>
  <si>
    <t xml:space="preserve">Implied price/mix</t>
  </si>
  <si>
    <t xml:space="preserve">Derived</t>
  </si>
  <si>
    <t xml:space="preserve">Consolidated except Q2FY26 and Q1FY27 = standalone (consolidated not sourced). Q1 &amp; Q4: ICICI Direct; Q2: FilingReader; Q3: Quartr; Q1FY27: call</t>
  </si>
  <si>
    <t xml:space="preserve">Gross margin basis</t>
  </si>
  <si>
    <t xml:space="preserve">Consol.</t>
  </si>
  <si>
    <t xml:space="preserve">Standalone</t>
  </si>
  <si>
    <t xml:space="preserve">EBITDA margin (excl. OI)</t>
  </si>
  <si>
    <t xml:space="preserve">Operating profit / revenue from ops</t>
  </si>
  <si>
    <t xml:space="preserve">Net profit to owners (₹ cr)</t>
  </si>
  <si>
    <t xml:space="preserve">Q3 after ₹158 cr exceptional (White Teak impairment, Labour Code). Q1FY26 rounded.</t>
  </si>
  <si>
    <t xml:space="preserve">Management guidance given</t>
  </si>
  <si>
    <t xml:space="preserve">EBITDA 18–20% maintained</t>
  </si>
  <si>
    <t xml:space="preserve">FY26: high-single-digit volume, mid-single-digit value; EBITDA 18–20%</t>
  </si>
  <si>
    <t xml:space="preserve">EBITDA 18–20%; cumulative price hikes ~10.5–11%</t>
  </si>
  <si>
    <t xml:space="preserve">FY27: volume 8–10%, value &gt; volume; EBITDA 18–20%</t>
  </si>
  <si>
    <t xml:space="preserve">Call summaries (Quartr, Sharekhan, FilingReader, Business Standard) — verify vs transcripts on BSE</t>
  </si>
  <si>
    <t xml:space="preserve">Street expectation vs actual</t>
  </si>
  <si>
    <t xml:space="preserve">EPS ₹11.47 vs ~₹10.98 consensus (beat)</t>
  </si>
  <si>
    <t xml:space="preserve">EPS ₹10.36 vs ~₹8.96 consensus (beat)</t>
  </si>
  <si>
    <t xml:space="preserve">Volume 7.9% seen as disappointing (HSBC downgrade)</t>
  </si>
  <si>
    <t xml:space="preserve">PAT ₹1,172 cr vs ₹900–1,000 cr expected (beat)</t>
  </si>
  <si>
    <t xml:space="preserve">Volume 9% vs ~12% pre-result estimate (miss); margin beat</t>
  </si>
  <si>
    <t xml:space="preserve">TipRanks, TradingView, Substack/HSBC note, Univest, Zee Business previews — secondary sources, reference only</t>
  </si>
  <si>
    <t xml:space="preserve">Read-across to the model</t>
  </si>
  <si>
    <t xml:space="preserve">Base-year for forecast</t>
  </si>
  <si>
    <t xml:space="preserve">If Q1 share of the year is above last year's, FY27E revenue may be conservative</t>
  </si>
  <si>
    <t xml:space="preserve">Sum of FY26 quarterly revenue (check)</t>
  </si>
  <si>
    <t xml:space="preserve">Should equal FY26 annual revenue 35,583.5 (see Checks)</t>
  </si>
  <si>
    <t xml:space="preserve">Business Driver Tree — how filings map into the forecast</t>
  </si>
  <si>
    <t xml:space="preserve">Type: FACT = from filings/results · GUIDANCE = management statement · ASSUMPTION = analyst judgement · NOT DISCLOSED = no public data</t>
  </si>
  <si>
    <t xml:space="preserve">Q1 FY27A</t>
  </si>
  <si>
    <t xml:space="preserve">Evidence / source</t>
  </si>
  <si>
    <t xml:space="preserve">REVENUE = Σ segments;  Decorative &amp; home décor = Volume × Realisation</t>
  </si>
  <si>
    <t xml:space="preserve">├ Decorative &amp; home décor revenue (₹ cr)</t>
  </si>
  <si>
    <t xml:space="preserve">│  ├ VOLUME growth (Decorative India)</t>
  </si>
  <si>
    <t xml:space="preserve">│  │   · Industry demand</t>
  </si>
  <si>
    <t xml:space="preserve">Decline</t>
  </si>
  <si>
    <t xml:space="preserve">FACT (qual.)</t>
  </si>
  <si>
    <t xml:space="preserve">IAR FY25 MD&amp;CEO letter: industry revenue ranged from low-single-digit decline to flat in FY25. Industry volume: NOT DISCLOSED.</t>
  </si>
  <si>
    <t xml:space="preserve">│  │   · Market share</t>
  </si>
  <si>
    <t xml:space="preserve">NOT DISCLOSED</t>
  </si>
  <si>
    <t xml:space="preserve">Asian Paints does not publish share. Birla Opus: ~10% revenue share by Mar-26, +370bp in FY26 (Grasim).</t>
  </si>
  <si>
    <t xml:space="preserve">│  │   · Rural vs urban</t>
  </si>
  <si>
    <t xml:space="preserve">Rural &gt; urban</t>
  </si>
  <si>
    <t xml:space="preserve">Q1FY27 call: rural (T3/T4) outpaced urban; B2B strong. Not quantified.</t>
  </si>
  <si>
    <t xml:space="preserve">│  │   · Competitive capacity</t>
  </si>
  <si>
    <t xml:space="preserve">~24%</t>
  </si>
  <si>
    <t xml:space="preserve">FACT (competitor)</t>
  </si>
  <si>
    <t xml:space="preserve">Birla Opus ~24% of industry decorative capacity (Grasim Q2/Q3 FY26 releases).</t>
  </si>
  <si>
    <t xml:space="preserve">│  └ REALISATION (price/mix)</t>
  </si>
  <si>
    <t xml:space="preserve">│      · Price increases taken</t>
  </si>
  <si>
    <t xml:space="preserve">10.5–11%</t>
  </si>
  <si>
    <t xml:space="preserve">~7%</t>
  </si>
  <si>
    <t xml:space="preserve">GUIDANCE/FACT</t>
  </si>
  <si>
    <t xml:space="preserve">Cumulative decorative price increase ~10.5–11% (Q4FY26); ~7% effective in Q1FY27 (call summaries).</t>
  </si>
  <si>
    <t xml:space="preserve">│      · Mix (premium vs economy)</t>
  </si>
  <si>
    <t xml:space="preserve">Down-trade</t>
  </si>
  <si>
    <t xml:space="preserve">Improving</t>
  </si>
  <si>
    <t xml:space="preserve">FY24–25 releases cite down-trading and price cuts; FY26 cites premium/luxury growth.</t>
  </si>
  <si>
    <t xml:space="preserve">├ International revenue growth</t>
  </si>
  <si>
    <t xml:space="preserve">FACT → ASSUMPTION</t>
  </si>
  <si>
    <t xml:space="preserve">FY26 +9.4% (AR segment); Q1FY27 +27.2% in INR (release).</t>
  </si>
  <si>
    <t xml:space="preserve">└ Industrial revenue growth</t>
  </si>
  <si>
    <t xml:space="preserve">AP-PPG only (PPGAP is an associate). Q1FY27 'mid-teens'.</t>
  </si>
  <si>
    <t xml:space="preserve">GROSS MARGIN = f(raw-material cost, price/mix, sourcing &amp; backward integration)</t>
  </si>
  <si>
    <t xml:space="preserve">Gross margin (revenue basis)</t>
  </si>
  <si>
    <t xml:space="preserve">Q1FY27 figure is standalone.</t>
  </si>
  <si>
    <t xml:space="preserve">  · Raw-material prices (crude-linked)</t>
  </si>
  <si>
    <t xml:space="preserve">Deflation</t>
  </si>
  <si>
    <t xml:space="preserve">Mixed</t>
  </si>
  <si>
    <t xml:space="preserve">Inflation</t>
  </si>
  <si>
    <t xml:space="preserve">Releases cite deflation in FY24/FY26; Q1FY27 call cites sharp inflation. Brent ~$105 (Sep-26). Company RM index: NOT DISCLOSED.</t>
  </si>
  <si>
    <t xml:space="preserve">  · Backward integration (VAE/VAM, white cement)</t>
  </si>
  <si>
    <t xml:space="preserve">Starts</t>
  </si>
  <si>
    <t xml:space="preserve">FACT + GUIDANCE</t>
  </si>
  <si>
    <t xml:space="preserve">Dahej VAE plant commercial production 17-Sep-2026 (BSE filing). Margin benefit is a management claim — size not verified.</t>
  </si>
  <si>
    <t xml:space="preserve">EBITDA = gross profit − employee cost − other expenses</t>
  </si>
  <si>
    <t xml:space="preserve">Other expenses % revenue (ads, freight, distribution)</t>
  </si>
  <si>
    <t xml:space="preserve">Advertising split in Note 27 not yet extracted.</t>
  </si>
  <si>
    <t xml:space="preserve">GUIDANCE: 18–20% for FY27 (Q1FY27 call).</t>
  </si>
  <si>
    <t xml:space="preserve">Competitive Landscape — decorative paints</t>
  </si>
  <si>
    <t xml:space="preserve">Blank-looking cells say 'Not disclosed' or 'Not sourced' on purpose: no figure has been estimated</t>
  </si>
  <si>
    <t xml:space="preserve">Birla Opus (Grasim)</t>
  </si>
  <si>
    <t xml:space="preserve">Source / notes</t>
  </si>
  <si>
    <t xml:space="preserve">FY26 revenue (₹ cr, consolidated)</t>
  </si>
  <si>
    <t xml:space="preserve">Not separately disclosed</t>
  </si>
  <si>
    <t xml:space="preserve">AP: IAR FY26. Peers: Screener. Grasim reports paints within standalone results.</t>
  </si>
  <si>
    <t xml:space="preserve">FY26 revenue growth</t>
  </si>
  <si>
    <t xml:space="preserve">~100% (revenue doubled)</t>
  </si>
  <si>
    <t xml:space="preserve">Birla Opus: Grasim Q4FY26 commentary (Business Today, Aug-2026).</t>
  </si>
  <si>
    <t xml:space="preserve">Q1 FY27 revenue growth</t>
  </si>
  <si>
    <t xml:space="preserve">Not disclosed</t>
  </si>
  <si>
    <t xml:space="preserve">Quarterly revenue from Screener; Opus Q4FY26 +52% like-for-like (Grasim call).</t>
  </si>
  <si>
    <t xml:space="preserve">FY26 EBITDA margin (excl. OI)</t>
  </si>
  <si>
    <t xml:space="preserve">Peers: Screener FY26 operating profit / sales.</t>
  </si>
  <si>
    <t xml:space="preserve">Decorative share of revenue</t>
  </si>
  <si>
    <t xml:space="preserve">86.8% (deco + home décor)</t>
  </si>
  <si>
    <t xml:space="preserve">Not sourced</t>
  </si>
  <si>
    <t xml:space="preserve">Not sourced (industrial leader)</t>
  </si>
  <si>
    <t xml:space="preserve">~100% decorative</t>
  </si>
  <si>
    <t xml:space="preserve">AP: IAR FY26 Financial Review. Kansai described as industrial-coatings leader (Screener profile).</t>
  </si>
  <si>
    <t xml:space="preserve">Decorative capacity</t>
  </si>
  <si>
    <t xml:space="preserve">2,290,000 KL/yr (India)</t>
  </si>
  <si>
    <t xml:space="preserve">1,332 MLPA (~24% of industry)</t>
  </si>
  <si>
    <t xml:space="preserve">AP: IAR FY26. Opus: Grasim Q2FY26 release.</t>
  </si>
  <si>
    <t xml:space="preserve">Revenue market share</t>
  </si>
  <si>
    <t xml:space="preserve">~10% (Mar-2026)</t>
  </si>
  <si>
    <t xml:space="preserve">Grasim Q4FY26 (company estimate).</t>
  </si>
  <si>
    <t xml:space="preserve">Share change FY26</t>
  </si>
  <si>
    <t xml:space="preserve">+370 bp</t>
  </si>
  <si>
    <t xml:space="preserve">Grasim Q4FY26 call (via Arthneeti summary) — verify in transcript.</t>
  </si>
  <si>
    <t xml:space="preserve">Distribution reach</t>
  </si>
  <si>
    <t xml:space="preserve">169,000+ retail touchpoints (FY25)</t>
  </si>
  <si>
    <t xml:space="preserve">1,900+ stores, 2,100+ tinting machines</t>
  </si>
  <si>
    <t xml:space="preserve">11,500+ towns, 50,000+ dealers</t>
  </si>
  <si>
    <t xml:space="preserve">AP: IAR FY25. Berger: Q1FY27 call summary. Opus: Grasim Q4FY26.</t>
  </si>
  <si>
    <t xml:space="preserve">Latest decorative volume growth</t>
  </si>
  <si>
    <t xml:space="preserve">High single digit (Q1FY27, standalone)</t>
  </si>
  <si>
    <t xml:space="preserve">AP FY26; Berger Q1FY27 call summary (Tickertape).</t>
  </si>
  <si>
    <t xml:space="preserve">ROCE (Screener basis)</t>
  </si>
  <si>
    <t xml:space="preserve">n/a (not listed)</t>
  </si>
  <si>
    <t xml:space="preserve">Screener, Sep-2026.</t>
  </si>
  <si>
    <t xml:space="preserve">See Valuation sheet.</t>
  </si>
  <si>
    <t xml:space="preserve">Reading: Asian Paints still grew faster than listed peers in FY26 and Q1 FY27, but the only player gaining share at pace is Birla Opus — and its margins are not disclosed, so how long Grasim can fund price-led growth is the key unknown.</t>
  </si>
  <si>
    <t xml:space="preserve">Thesis Breakers — what would prove this view wrong</t>
  </si>
  <si>
    <t xml:space="preserve">Thresholds are taken from guidance or past actuals, not picked for effect. Update 'Latest reading' each quarter</t>
  </si>
  <si>
    <t xml:space="preserve">Signal</t>
  </si>
  <si>
    <t xml:space="preserve">Threshold</t>
  </si>
  <si>
    <t xml:space="preserve">Why this threshold</t>
  </si>
  <si>
    <t xml:space="preserve">Latest reading</t>
  </si>
  <si>
    <t xml:space="preserve">Status</t>
  </si>
  <si>
    <t xml:space="preserve">RECOVERY THESIS WEAKENS IF…</t>
  </si>
  <si>
    <t xml:space="preserve">&lt; 8% for 2 quarters in a row</t>
  </si>
  <si>
    <t xml:space="preserve">Bottom of FY27 guidance (8–10%)</t>
  </si>
  <si>
    <t xml:space="preserve">Price/mix</t>
  </si>
  <si>
    <t xml:space="preserve">Turns negative again</t>
  </si>
  <si>
    <t xml:space="preserve">FY24–FY26 were −5.5%, −8.0%, −4.3%; Q1FY27 +7.0% is the turn the thesis relies on</t>
  </si>
  <si>
    <t xml:space="preserve">&lt; 42.4% for 2 quarters despite price hikes</t>
  </si>
  <si>
    <t xml:space="preserve">FY25 trough (42.4%); would mean price increases are not covering inputs</t>
  </si>
  <si>
    <t xml:space="preserve">&lt; 18% over a half-year</t>
  </si>
  <si>
    <t xml:space="preserve">Floor of management's 18–20% range</t>
  </si>
  <si>
    <t xml:space="preserve">Birla Opus share gains</t>
  </si>
  <si>
    <t xml:space="preserve">&gt; +370bp/yr while AP volume &lt; 8%</t>
  </si>
  <si>
    <t xml:space="preserve">FY26 pace reported by Grasim; faster gains with weak AP volume = share loss</t>
  </si>
  <si>
    <t xml:space="preserve">~10% share</t>
  </si>
  <si>
    <t xml:space="preserve">Volume response to price hikes</t>
  </si>
  <si>
    <t xml:space="preserve">Volume &lt; 8% while value &gt; 12%</t>
  </si>
  <si>
    <t xml:space="preserve">Would mean price is being bought with volume (Q1FY27: 9% vol / 16.6% value)</t>
  </si>
  <si>
    <t xml:space="preserve">VALUATION VIEW BECOMES MORE POSITIVE IF…</t>
  </si>
  <si>
    <t xml:space="preserve">FY28E EPS path</t>
  </si>
  <si>
    <t xml:space="preserve">≥ bull-case EPS</t>
  </si>
  <si>
    <t xml:space="preserve">Bull case requires top-of-guidance volume and ~44.4% gross margin</t>
  </si>
  <si>
    <t xml:space="preserve">Gross margin sustained</t>
  </si>
  <si>
    <t xml:space="preserve">≥ 44.4% with volume ≥ 10%</t>
  </si>
  <si>
    <t xml:space="preserve">FY26 standalone level; would support bull-case margins</t>
  </si>
  <si>
    <t xml:space="preserve">Share price</t>
  </si>
  <si>
    <t xml:space="preserve">Price at which the base target implies &gt;15% upside</t>
  </si>
  <si>
    <t xml:space="preserve">Competitive intensity</t>
  </si>
  <si>
    <t xml:space="preserve">Opus share gains slow below +150bp/yr</t>
  </si>
  <si>
    <t xml:space="preserve">Less than half the FY26 pace — pricing pressure would ease</t>
  </si>
  <si>
    <t xml:space="preserve">Not yet</t>
  </si>
  <si>
    <t xml:space="preserve">VALUATION VIEW BECOMES MORE NEGATIVE IF…</t>
  </si>
  <si>
    <t xml:space="preserve">Multiple would exceed the threshold P/E with no EPS upgrade</t>
  </si>
  <si>
    <t xml:space="preserve">≤ bear-case EPS</t>
  </si>
  <si>
    <t xml:space="preserve">Bear case = FY25-type margins with sub-guidance volume</t>
  </si>
  <si>
    <t xml:space="preserve">Checks — reconciliation to filings and model integrity</t>
  </si>
  <si>
    <t xml:space="preserve">Status must read OK. 'EXPLAINED' = known definitional difference, documented in column G</t>
  </si>
  <si>
    <t xml:space="preserve">Model</t>
  </si>
  <si>
    <t xml:space="preserve">Reference</t>
  </si>
  <si>
    <t xml:space="preserve">Difference</t>
  </si>
  <si>
    <t xml:space="preserve">Tolerance</t>
  </si>
  <si>
    <t xml:space="preserve">What it tests / explanation</t>
  </si>
  <si>
    <t xml:space="preserve">A. RECONCILIATION TO FILINGS</t>
  </si>
  <si>
    <t xml:space="preserve">FY26 revenue from operations</t>
  </si>
  <si>
    <t xml:space="preserve">Ten-Year Review p.78–79</t>
  </si>
  <si>
    <t xml:space="preserve">FY26 PBT incl. associates</t>
  </si>
  <si>
    <t xml:space="preserve">IAR FY26 P&amp;L: PBT 6,003.44 (model PBT excludes associates)</t>
  </si>
  <si>
    <t xml:space="preserve">FY25 PBT incl. associates</t>
  </si>
  <si>
    <t xml:space="preserve">IAR FY26 P&amp;L comparative</t>
  </si>
  <si>
    <t xml:space="preserve">FY24 PBT incl. associates</t>
  </si>
  <si>
    <t xml:space="preserve">IAR FY25 P&amp;L comparative</t>
  </si>
  <si>
    <t xml:space="preserve">FY23 PBT before exceptionals incl. associates</t>
  </si>
  <si>
    <t xml:space="preserve">Ten-Year Review (verifies FY23 aggregator P&amp;L)</t>
  </si>
  <si>
    <t xml:space="preserve">FY26 company EBITDA (incl. other income)</t>
  </si>
  <si>
    <t xml:space="preserve">IAR FY26 P&amp;L EBITDA line</t>
  </si>
  <si>
    <t xml:space="preserve">FY26 net profit to owners</t>
  </si>
  <si>
    <t xml:space="preserve">IAR FY26 P&amp;L</t>
  </si>
  <si>
    <t xml:space="preserve">FY23 net profit to owners</t>
  </si>
  <si>
    <t xml:space="preserve">Ten-Year Review</t>
  </si>
  <si>
    <t xml:space="preserve">FY26 EPS: model vs company basic</t>
  </si>
  <si>
    <t xml:space="preserve">EXPLAINED: company divides by weighted shares net of ESOP-trust treasury shares (~95.86 cr)</t>
  </si>
  <si>
    <t xml:space="preserve">FY26 gross margin on net sales vs company 43.7%</t>
  </si>
  <si>
    <t xml:space="preserve">Company GM uses net sales, not revenue from operations</t>
  </si>
  <si>
    <t xml:space="preserve">FY26 segments sum to consolidated net sales</t>
  </si>
  <si>
    <t xml:space="preserve">Financial Review segment table vs Ten-Year Review</t>
  </si>
  <si>
    <t xml:space="preserve">FY25 segments sum to consolidated net sales</t>
  </si>
  <si>
    <t xml:space="preserve">FY26 net sales + other op. revenue = revenue</t>
  </si>
  <si>
    <t xml:space="preserve">FY26 book value per share vs company ₹222.8</t>
  </si>
  <si>
    <t xml:space="preserve">FY26 borrowings: Ten-Year Review vs balance sheet</t>
  </si>
  <si>
    <t xml:space="preserve">EXPLAINED: Ten-Year Review 'borrowings' also includes ₹31.67 cr 'other liabilities' (govt. loans) — CF note p.467</t>
  </si>
  <si>
    <t xml:space="preserve">FY26 net change in cash vs cash flow statement</t>
  </si>
  <si>
    <t xml:space="preserve">IAR FY26 cash flow</t>
  </si>
  <si>
    <t xml:space="preserve">FY25 net change in cash</t>
  </si>
  <si>
    <t xml:space="preserve">IAR FY26 cash flow comparative</t>
  </si>
  <si>
    <t xml:space="preserve">FY24 net change in cash</t>
  </si>
  <si>
    <t xml:space="preserve">IAR FY25 cash flow comparative</t>
  </si>
  <si>
    <t xml:space="preserve">Sum of FY26 quarters = FY26 revenue</t>
  </si>
  <si>
    <t xml:space="preserve">Quarterly releases vs annual report (Q1 figure rounded)</t>
  </si>
  <si>
    <t xml:space="preserve">B. MODEL INTEGRITY</t>
  </si>
  <si>
    <t xml:space="preserve">Forecast FY26A segment build = reported revenue</t>
  </si>
  <si>
    <t xml:space="preserve">Driver build starts from filed segment data</t>
  </si>
  <si>
    <t xml:space="preserve">Forecast FY25A segment build = reported revenue</t>
  </si>
  <si>
    <t xml:space="preserve">Scenario base FY28E EPS = Forecast FY28E EPS</t>
  </si>
  <si>
    <t xml:space="preserve">Scenario engine replicates the forecast</t>
  </si>
  <si>
    <t xml:space="preserve">DCF stage-1 FCFF = Forecast FCFF</t>
  </si>
  <si>
    <t xml:space="preserve">DCF links correctly</t>
  </si>
  <si>
    <t xml:space="preserve">Guidance breaches in forecast (count)</t>
  </si>
  <si>
    <t xml:space="preserve">Forecast stays inside stated guidance</t>
  </si>
  <si>
    <t xml:space="preserve">Target price = FY28E EPS × P/E</t>
  </si>
  <si>
    <t xml:space="preserve">Valuation links</t>
  </si>
  <si>
    <t xml:space="preserve">FY26 dividend payout vs 60% policy</t>
  </si>
  <si>
    <t xml:space="preserve">Company pays 60% of profit before exceptionals; reported-EPS basis gives ~61%</t>
  </si>
  <si>
    <t xml:space="preserve">Checks passing or explained</t>
  </si>
  <si>
    <t xml:space="preserve">Source Log — every major number traced to a document</t>
  </si>
  <si>
    <t xml:space="preserve">Page = printed page from the PDF extract (confirm against the physical page). Type: PRIMARY = company filing · COMPETITOR = other company's disclosure · AGGREGATOR / MEDIA / BROKER = secondary</t>
  </si>
  <si>
    <t xml:space="preserve">#</t>
  </si>
  <si>
    <t xml:space="preserve">Period</t>
  </si>
  <si>
    <t xml:space="preserve">Value used</t>
  </si>
  <si>
    <t xml:space="preserve">Source document</t>
  </si>
  <si>
    <t xml:space="preserve">Source type</t>
  </si>
  <si>
    <t xml:space="preserve">URL / note</t>
  </si>
  <si>
    <t xml:space="preserve">FY25–26</t>
  </si>
  <si>
    <t xml:space="preserve">35,583.54 / 33,905.62</t>
  </si>
  <si>
    <t xml:space="preserve">IAR FY26 — Consolidated P&amp;L</t>
  </si>
  <si>
    <t xml:space="preserve">461</t>
  </si>
  <si>
    <t xml:space="preserve">PRIMARY</t>
  </si>
  <si>
    <t xml:space="preserve">https://static.asianpaints.com/content/dam/annual-report-2526/pdf/Consolidated.pdf</t>
  </si>
  <si>
    <t xml:space="preserve">FY24</t>
  </si>
  <si>
    <t xml:space="preserve">35,494.73</t>
  </si>
  <si>
    <t xml:space="preserve">IAR FY25 — Consolidated P&amp;L</t>
  </si>
  <si>
    <t xml:space="preserve">442</t>
  </si>
  <si>
    <t xml:space="preserve">https://static.asianpaints.com/content/dam/annual-folder-2425/pdf/Consolidated.pdf</t>
  </si>
  <si>
    <t xml:space="preserve">Revenue, material cost, EBITDA, PBT, PAT, EPS</t>
  </si>
  <si>
    <t xml:space="preserve">FY17–26</t>
  </si>
  <si>
    <t xml:space="preserve">Ten-year series</t>
  </si>
  <si>
    <t xml:space="preserve">IAR FY26 — Ten-Year Review</t>
  </si>
  <si>
    <t xml:space="preserve">https://static.asianpaints.com/content/dam/annual-report-2526/pdf/Ten-year-review.pdf</t>
  </si>
  <si>
    <t xml:space="preserve">Cost lines (materials, employee, other)</t>
  </si>
  <si>
    <t xml:space="preserve">FY24–26</t>
  </si>
  <si>
    <t xml:space="preserve">See Historicals</t>
  </si>
  <si>
    <t xml:space="preserve">IAR FY26 / FY25 — Consolidated P&amp;L</t>
  </si>
  <si>
    <t xml:space="preserve">Cost lines split</t>
  </si>
  <si>
    <t xml:space="preserve">FY23</t>
  </si>
  <si>
    <t xml:space="preserve">MarketsMojo (totals verified vs Ten-Year Review)</t>
  </si>
  <si>
    <t xml:space="preserve">AGGREGATOR</t>
  </si>
  <si>
    <t xml:space="preserve">Verify split in IAR FY24 consolidated P&amp;L</t>
  </si>
  <si>
    <t xml:space="preserve">(363.10) / (157.61)</t>
  </si>
  <si>
    <t xml:space="preserve">IAR FY26 — Consolidated P&amp;L, Note 40</t>
  </si>
  <si>
    <t xml:space="preserve">Basic EPS</t>
  </si>
  <si>
    <t xml:space="preserve">56.95 / 38.25 / 45.12</t>
  </si>
  <si>
    <t xml:space="preserve">v1 used 45.09 (aggregator) — corrected</t>
  </si>
  <si>
    <t xml:space="preserve">Segment revenue (Deco &amp; home décor, International, Industrial)</t>
  </si>
  <si>
    <t xml:space="preserve">30,830.4 / 3,353.6 / 1,332.4</t>
  </si>
  <si>
    <t xml:space="preserve">IAR FY26 — Financial Review (MD&amp;A)</t>
  </si>
  <si>
    <t xml:space="preserve">https://static.asianpaints.com/content/dam/annual-report-2526/pdf/Financial-review.pdf</t>
  </si>
  <si>
    <t xml:space="preserve">Standalone net sales, EBITDA, PAT</t>
  </si>
  <si>
    <t xml:space="preserve">FY22–26</t>
  </si>
  <si>
    <t xml:space="preserve">IAR FY26 — Financial Review / Ten-Year Review</t>
  </si>
  <si>
    <t xml:space="preserve">60–63 / 78</t>
  </si>
  <si>
    <t xml:space="preserve">Equity, NCI, borrowings, leases, payables, investments, inventory, receivables, cash, total assets</t>
  </si>
  <si>
    <t xml:space="preserve">See Balance Sheet</t>
  </si>
  <si>
    <t xml:space="preserve">IAR FY26 — Consolidated Balance Sheet</t>
  </si>
  <si>
    <t xml:space="preserve">Same balance sheet items</t>
  </si>
  <si>
    <t xml:space="preserve">IAR FY25 — Consolidated Balance Sheet</t>
  </si>
  <si>
    <t xml:space="preserve">440</t>
  </si>
  <si>
    <t xml:space="preserve">Borrowings and lease liabilities</t>
  </si>
  <si>
    <t xml:space="preserve">972.21 / 960.41</t>
  </si>
  <si>
    <t xml:space="preserve">IAR FY25 — Cash flow note (changes in financing liabilities)</t>
  </si>
  <si>
    <t xml:space="preserve">448</t>
  </si>
  <si>
    <t xml:space="preserve">Inventory, receivables, payables, cash, investments, total assets</t>
  </si>
  <si>
    <t xml:space="preserve">MarketsMojo</t>
  </si>
  <si>
    <t xml:space="preserve">No</t>
  </si>
  <si>
    <t xml:space="preserve">Verify in IAR FY24 consolidated balance sheet</t>
  </si>
  <si>
    <t xml:space="preserve">CFO, capex, CFI, CFF, lease principal, dividends paid</t>
  </si>
  <si>
    <t xml:space="preserve">See Cash Flow</t>
  </si>
  <si>
    <t xml:space="preserve">IAR FY26 — Consolidated Cash Flow</t>
  </si>
  <si>
    <t xml:space="preserve">465–467</t>
  </si>
  <si>
    <t xml:space="preserve">Same cash flow items</t>
  </si>
  <si>
    <t xml:space="preserve">IAR FY25 — Consolidated Cash Flow</t>
  </si>
  <si>
    <t xml:space="preserve">446–448</t>
  </si>
  <si>
    <t xml:space="preserve">Cash flow items</t>
  </si>
  <si>
    <t xml:space="preserve">Screener</t>
  </si>
  <si>
    <t xml:space="preserve">Verify in IAR FY24 cash flow statement</t>
  </si>
  <si>
    <t xml:space="preserve">Dividend per share, market cap, ROCE, RONW, book value</t>
  </si>
  <si>
    <t xml:space="preserve">See Historicals / Cash Flow</t>
  </si>
  <si>
    <t xml:space="preserve">Installed decorative capacity 2,290,000 KL/yr</t>
  </si>
  <si>
    <t xml:space="preserve">FY26</t>
  </si>
  <si>
    <t xml:space="preserve">2,290,000</t>
  </si>
  <si>
    <t xml:space="preserve">IAR FY26 — web summary</t>
  </si>
  <si>
    <t xml:space="preserve">https://www.asianpaints.com/content/annualreport/annual-report-25-26.html</t>
  </si>
  <si>
    <t xml:space="preserve">Retail touchpoints 169,000+</t>
  </si>
  <si>
    <t xml:space="preserve">FY25</t>
  </si>
  <si>
    <t xml:space="preserve">169,000+</t>
  </si>
  <si>
    <t xml:space="preserve">IAR FY25 — web summary</t>
  </si>
  <si>
    <t xml:space="preserve">https://www.asianpaints.com/content/annualreport/annual-report-24-25.html</t>
  </si>
  <si>
    <t xml:space="preserve">Industry revenue low-single-digit decline to flat</t>
  </si>
  <si>
    <t xml:space="preserve">Qualitative</t>
  </si>
  <si>
    <t xml:space="preserve">IAR FY25 — MD &amp; CEO letter</t>
  </si>
  <si>
    <t xml:space="preserve">Industrial revenue excludes PPGAP (associate)</t>
  </si>
  <si>
    <t xml:space="preserve">Footnote</t>
  </si>
  <si>
    <t xml:space="preserve">IAR FY25 — Business segments</t>
  </si>
  <si>
    <t xml:space="preserve">Decorative volume / value growth</t>
  </si>
  <si>
    <t xml:space="preserve">10% / 3.9% (deco + industrial)</t>
  </si>
  <si>
    <t xml:space="preserve">FY24 results release (reported by PCI Magazine)</t>
  </si>
  <si>
    <t xml:space="preserve">MEDIA</t>
  </si>
  <si>
    <t xml:space="preserve">https://pcimag.com/articles/112341-asian-paints-reports-fiscal-year-results — verify in Q4FY24 release on BSE</t>
  </si>
  <si>
    <t xml:space="preserve">2.5% / −5.7%</t>
  </si>
  <si>
    <t xml:space="preserve">Q4FY25 call summary (Quartr)</t>
  </si>
  <si>
    <t xml:space="preserve">https://quartr.com/events/asian-paints-limited-asianpaint-q4-24-25_3sTIICrf — verify in Q4FY25 investor presentation</t>
  </si>
  <si>
    <t xml:space="preserve">9% / 4.3%</t>
  </si>
  <si>
    <t xml:space="preserve">Q4FY26 call summary (GuruFocus)</t>
  </si>
  <si>
    <t xml:space="preserve">https://finance.yahoo.com/markets/stocks/articles/asian-paints-ltd-bom-500820-230052885.html — verify in Q4FY26 presentation</t>
  </si>
  <si>
    <t xml:space="preserve">Quarterly volume / value growth</t>
  </si>
  <si>
    <t xml:space="preserve">Q1FY26–Q1FY27</t>
  </si>
  <si>
    <t xml:space="preserve">See Quarterly Tracker</t>
  </si>
  <si>
    <t xml:space="preserve">Results coverage: Business Standard, Angel One, ICICI Direct, Coatings World, Upstox</t>
  </si>
  <si>
    <t xml:space="preserve">Verify each quarter against the company press release (BSE / asianpaints.com)</t>
  </si>
  <si>
    <t xml:space="preserve">Quarterly revenue and PAT</t>
  </si>
  <si>
    <t xml:space="preserve">Screener quarterly table; results coverage</t>
  </si>
  <si>
    <t xml:space="preserve">Sum of FY26 quarters reconciles to annual report (Checks)</t>
  </si>
  <si>
    <t xml:space="preserve">Quarterly gross margins</t>
  </si>
  <si>
    <t xml:space="preserve">ICICI Direct (Q1, Q4), FilingReader (Q2), Quartr (Q3), GuruFocus (Q1FY27)</t>
  </si>
  <si>
    <t xml:space="preserve">BROKER / MEDIA</t>
  </si>
  <si>
    <t xml:space="preserve">Verify in investor presentations; basis (standalone/consolidated) flagged</t>
  </si>
  <si>
    <t xml:space="preserve">FY27 guidance: volume 8–10%, EBITDA 18–20%, value &gt; volume</t>
  </si>
  <si>
    <t xml:space="preserve">FY27</t>
  </si>
  <si>
    <t xml:space="preserve">Guidance</t>
  </si>
  <si>
    <t xml:space="preserve">Business Standard (30-Jul-2026); GuruFocus call summary</t>
  </si>
  <si>
    <t xml:space="preserve">https://www.business-standard.com/markets/news/near-term-margin-pressure-may-weigh-on-asian-paints-despite-strong-q1-126073001501_1.html — verify in Q1FY27 transcript</t>
  </si>
  <si>
    <t xml:space="preserve">Cumulative price increase ~10.5–11%</t>
  </si>
  <si>
    <t xml:space="preserve">FY26 Q4</t>
  </si>
  <si>
    <t xml:space="preserve">FilingReader summary of Q4FY26 presentation</t>
  </si>
  <si>
    <t xml:space="preserve">https://filingreader.com/news-wire/mumbai/2026-06-03/asian-paints-records-strong-fy26-growth-as-gross-margins-surge</t>
  </si>
  <si>
    <t xml:space="preserve">Dahej VAE plant commercial production</t>
  </si>
  <si>
    <t xml:space="preserve">17-Sep-2026</t>
  </si>
  <si>
    <t xml:space="preserve">Event</t>
  </si>
  <si>
    <t xml:space="preserve">BSE announcement (listed on Screener)</t>
  </si>
  <si>
    <t xml:space="preserve">EXCHANGE FILING</t>
  </si>
  <si>
    <t xml:space="preserve">Open the BSE announcement PDF to confirm</t>
  </si>
  <si>
    <t xml:space="preserve">Birla Opus ~10% revenue share; revenue doubled</t>
  </si>
  <si>
    <t xml:space="preserve">~10%, ~100%</t>
  </si>
  <si>
    <t xml:space="preserve">Grasim management (Business Today, Aug-2026)</t>
  </si>
  <si>
    <t xml:space="preserve">COMPETITOR / MEDIA</t>
  </si>
  <si>
    <t xml:space="preserve">https://www.businesstoday.in/latest/corporate/story/grasim-bets-big-on-new-growth-engines-as-revenue-nears-rs2-lakh-crore-550630-2026-08-21</t>
  </si>
  <si>
    <t xml:space="preserve">Birla Opus capacity 1,332 MLPA (~24%)</t>
  </si>
  <si>
    <t xml:space="preserve">Q2FY26</t>
  </si>
  <si>
    <t xml:space="preserve">1,332 MLPA</t>
  </si>
  <si>
    <t xml:space="preserve">Grasim Q2FY26 press release</t>
  </si>
  <si>
    <t xml:space="preserve">COMPETITOR</t>
  </si>
  <si>
    <t xml:space="preserve">https://www.grasim.com/media/press-releases/grasim-earning-financial-results-q2fy2026</t>
  </si>
  <si>
    <t xml:space="preserve">Birla Opus distribution; share +370bp</t>
  </si>
  <si>
    <t xml:space="preserve">11,500+ towns; 50,000+ dealers</t>
  </si>
  <si>
    <t xml:space="preserve">Grasim Q4FY26 call summaries (InvestyWise, Arthneeti)</t>
  </si>
  <si>
    <t xml:space="preserve">Verify in Grasim Q4FY26 transcript</t>
  </si>
  <si>
    <t xml:space="preserve">Peer financials &amp; multiples (Berger, Kansai, Indigo)</t>
  </si>
  <si>
    <t xml:space="preserve">FY26 / TTM</t>
  </si>
  <si>
    <t xml:space="preserve">See Valuation</t>
  </si>
  <si>
    <t xml:space="preserve">Screener.in</t>
  </si>
  <si>
    <t xml:space="preserve">Verify against each company's annual report</t>
  </si>
  <si>
    <t xml:space="preserve">Current share price ₹2,454</t>
  </si>
  <si>
    <t xml:space="preserve">2,454</t>
  </si>
  <si>
    <t xml:space="preserve">Screener (NSE close)</t>
  </si>
  <si>
    <t xml:space="preserve">Confirm on nseindia.com on the day you send the note</t>
  </si>
  <si>
    <t xml:space="preserve">India 10Y G-sec ~7.1%; Brent ~$105</t>
  </si>
  <si>
    <t xml:space="preserve">15-Sep-2026</t>
  </si>
  <si>
    <t xml:space="preserve">7.1%</t>
  </si>
  <si>
    <t xml:space="preserve">Trading Economics</t>
  </si>
  <si>
    <t xml:space="preserve">MACRO DATA</t>
  </si>
  <si>
    <t xml:space="preserve">https://tradingeconomics.com/india/government-bond-yield/news/583773 — verify on RBI/CCIL</t>
  </si>
  <si>
    <t xml:space="preserve">Broker reference: ICICI Direct 52x FY28E</t>
  </si>
  <si>
    <t xml:space="preserve">Jun-2026</t>
  </si>
  <si>
    <t xml:space="preserve">52x</t>
  </si>
  <si>
    <t xml:space="preserve">ICICI Direct Q4FY26 result update</t>
  </si>
  <si>
    <t xml:space="preserve">BROKER</t>
  </si>
  <si>
    <t xml:space="preserve">https://www.icicidirect.com/mailcontent/idirect_asianpaints_q4fy26.pdf — used only to bound the bull multiple</t>
  </si>
  <si>
    <t xml:space="preserve">Street expectations (consensus EPS, previews)</t>
  </si>
  <si>
    <t xml:space="preserve">TipRanks, TradingView, Univest, Zee Business, HSBC note via Substack</t>
  </si>
  <si>
    <t xml:space="preserve">Context only; not used in any calculation</t>
  </si>
  <si>
    <t xml:space="preserve">Note 27 other expenses split (advertising, freight)</t>
  </si>
  <si>
    <t xml:space="preserve">NOT EXTRACTED</t>
  </si>
  <si>
    <t xml:space="preserve">IAR FY26 — Consolidated notes</t>
  </si>
  <si>
    <t xml:space="preserve">To do: extract to split 'other expenses' into A&amp;P vs freight vs others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</si>
</sst>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₹#,##0.0;&quot;(₹&quot;#,##0.0\);\-"/>
    <numFmt numFmtId="166" formatCode="\₹#,##0;&quot;(₹&quot;#,##0\);\-"/>
    <numFmt numFmtId="167" formatCode="0.0%;\(0.0%\);\-"/>
    <numFmt numFmtId="168" formatCode="0.0\x"/>
    <numFmt numFmtId="169" formatCode="#,##0.0;\(#,##0.0\);\-"/>
    <numFmt numFmtId="170" formatCode="#,##0;\(#,##0\);\-"/>
    <numFmt numFmtId="171" formatCode="0.0"/>
    <numFmt numFmtId="172" formatCode="#,##0.00;\(#,##0.00\);\-"/>
    <numFmt numFmtId="173" formatCode="0.0\x;\(0.0&quot;x)&quot;"/>
    <numFmt numFmtId="174" formatCode="@"/>
    <numFmt numFmtId="175" formatCode="0.000"/>
    <numFmt numFmtId="176" formatCode="\₹#,##0.00;&quot;(₹&quot;#,##0.00\);\-"/>
    <numFmt numFmtId="17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Segoe UI"/>
      <family val="0"/>
      <charset val="1"/>
    </font>
    <font>
      <sz val="11"/>
      <color rgb="FF404040"/>
      <name val="Segoe UI"/>
      <family val="0"/>
      <charset val="1"/>
    </font>
    <font>
      <i val="true"/>
      <sz val="9"/>
      <color rgb="FF555555"/>
      <name val="Segoe UI"/>
      <family val="0"/>
      <charset val="1"/>
    </font>
    <font>
      <b val="true"/>
      <sz val="10"/>
      <color rgb="FF1F3864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0"/>
      <color rgb="FF008000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9"/>
      <color rgb="FF008000"/>
      <name val="Segoe UI"/>
      <family val="0"/>
      <charset val="1"/>
    </font>
    <font>
      <sz val="10"/>
      <color rgb="FF008000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FF"/>
      <name val="Segoe UI"/>
      <family val="0"/>
      <charset val="1"/>
    </font>
    <font>
      <b val="true"/>
      <sz val="14"/>
      <color rgb="FF000000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10"/>
      <name val="Arial"/>
      <family val="2"/>
    </font>
    <font>
      <b val="true"/>
      <sz val="10"/>
      <color rgb="FF0000FF"/>
      <name val="Segoe UI"/>
      <family val="0"/>
      <charset val="1"/>
    </font>
    <font>
      <u val="single"/>
      <sz val="9"/>
      <color rgb="FF0563C1"/>
      <name val="Segoe U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1F3864"/>
        <bgColor rgb="FF404040"/>
      </patternFill>
    </fill>
    <fill>
      <patternFill patternType="solid">
        <fgColor rgb="FF44546A"/>
        <bgColor rgb="FF555555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999999"/>
      </patternFill>
    </fill>
    <fill>
      <patternFill patternType="solid">
        <fgColor rgb="FF8B3A3A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 style="medium">
        <color rgb="FF7F7F7F"/>
      </left>
      <right/>
      <top/>
      <bottom/>
      <diagonal/>
    </border>
    <border diagonalUp="false" diagonalDown="false">
      <left style="medium">
        <color rgb="FF7F7F7F"/>
      </left>
      <right/>
      <top style="thin">
        <color rgb="FF999999"/>
      </top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0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0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CE6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7F7F7F"/>
      <rgbColor rgb="FF9999FF"/>
      <rgbColor rgb="FF8B3A3A"/>
      <rgbColor rgb="FFFFF2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55555"/>
      <rgbColor rgb="FF999999"/>
      <rgbColor rgb="FF1F3864"/>
      <rgbColor rgb="FF339966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static.asianpaints.com/content/dam/annual-report-2526/pdf/Consolidated.pdf" TargetMode="External"/><Relationship Id="rId2" Type="http://schemas.openxmlformats.org/officeDocument/2006/relationships/hyperlink" Target="https://static.asianpaints.com/content/dam/annual-folder-2425/pdf/Consolidated.pdf" TargetMode="External"/><Relationship Id="rId3" Type="http://schemas.openxmlformats.org/officeDocument/2006/relationships/hyperlink" Target="https://static.asianpaints.com/content/dam/annual-report-2526/pdf/Ten-year-review.pdf" TargetMode="External"/><Relationship Id="rId4" Type="http://schemas.openxmlformats.org/officeDocument/2006/relationships/hyperlink" Target="https://static.asianpaints.com/content/dam/annual-report-2526/pdf/Consolidated.pdf" TargetMode="External"/><Relationship Id="rId5" Type="http://schemas.openxmlformats.org/officeDocument/2006/relationships/hyperlink" Target="https://static.asianpaints.com/content/dam/annual-report-2526/pdf/Consolidated.pdf" TargetMode="External"/><Relationship Id="rId6" Type="http://schemas.openxmlformats.org/officeDocument/2006/relationships/hyperlink" Target="https://static.asianpaints.com/content/dam/annual-report-2526/pdf/Financial-review.pdf" TargetMode="External"/><Relationship Id="rId7" Type="http://schemas.openxmlformats.org/officeDocument/2006/relationships/hyperlink" Target="https://static.asianpaints.com/content/dam/annual-report-2526/pdf/Financial-review.pdf" TargetMode="External"/><Relationship Id="rId8" Type="http://schemas.openxmlformats.org/officeDocument/2006/relationships/hyperlink" Target="https://static.asianpaints.com/content/dam/annual-report-2526/pdf/Consolidated.pdf" TargetMode="External"/><Relationship Id="rId9" Type="http://schemas.openxmlformats.org/officeDocument/2006/relationships/hyperlink" Target="https://static.asianpaints.com/content/dam/annual-folder-2425/pdf/Consolidated.pdf" TargetMode="External"/><Relationship Id="rId10" Type="http://schemas.openxmlformats.org/officeDocument/2006/relationships/hyperlink" Target="https://static.asianpaints.com/content/dam/annual-folder-2425/pdf/Consolidated.pdf" TargetMode="External"/><Relationship Id="rId11" Type="http://schemas.openxmlformats.org/officeDocument/2006/relationships/hyperlink" Target="https://static.asianpaints.com/content/dam/annual-report-2526/pdf/Consolidated.pdf" TargetMode="External"/><Relationship Id="rId12" Type="http://schemas.openxmlformats.org/officeDocument/2006/relationships/hyperlink" Target="https://static.asianpaints.com/content/dam/annual-folder-2425/pdf/Consolidated.pdf" TargetMode="External"/><Relationship Id="rId13" Type="http://schemas.openxmlformats.org/officeDocument/2006/relationships/hyperlink" Target="https://static.asianpaints.com/content/dam/annual-report-2526/pdf/Ten-year-review.pdf" TargetMode="External"/><Relationship Id="rId14" Type="http://schemas.openxmlformats.org/officeDocument/2006/relationships/hyperlink" Target="https://www.asianpaints.com/content/annualreport/annual-report-25-26.html" TargetMode="External"/><Relationship Id="rId15" Type="http://schemas.openxmlformats.org/officeDocument/2006/relationships/hyperlink" Target="https://www.asianpaints.com/content/annualreport/annual-report-24-25.html" TargetMode="External"/><Relationship Id="rId16" Type="http://schemas.openxmlformats.org/officeDocument/2006/relationships/hyperlink" Target="https://www.asianpaints.com/content/annualreport/annual-report-24-25.html" TargetMode="External"/><Relationship Id="rId17" Type="http://schemas.openxmlformats.org/officeDocument/2006/relationships/hyperlink" Target="https://www.asianpaints.com/content/annualreport/annual-report-24-25.html" TargetMode="External"/><Relationship Id="rId18" Type="http://schemas.openxmlformats.org/officeDocument/2006/relationships/hyperlink" Target="https://pcimag.com/articles/112341-asian-paints-reports-fiscal-year-results" TargetMode="External"/><Relationship Id="rId19" Type="http://schemas.openxmlformats.org/officeDocument/2006/relationships/hyperlink" Target="https://quartr.com/events/asian-paints-limited-asianpaint-q4-24-25_3sTIICrf" TargetMode="External"/><Relationship Id="rId20" Type="http://schemas.openxmlformats.org/officeDocument/2006/relationships/hyperlink" Target="https://finance.yahoo.com/markets/stocks/articles/asian-paints-ltd-bom-500820-230052885.html" TargetMode="External"/><Relationship Id="rId21" Type="http://schemas.openxmlformats.org/officeDocument/2006/relationships/hyperlink" Target="https://www.business-standard.com/markets/news/near-term-margin-pressure-may-weigh-on-asian-paints-despite-strong-q1-126073001501_1.html" TargetMode="External"/><Relationship Id="rId22" Type="http://schemas.openxmlformats.org/officeDocument/2006/relationships/hyperlink" Target="https://filingreader.com/news-wire/mumbai/2026-06-03/asian-paints-records-strong-fy26-growth-as-gross-margins-surge" TargetMode="External"/><Relationship Id="rId23" Type="http://schemas.openxmlformats.org/officeDocument/2006/relationships/hyperlink" Target="https://www.businesstoday.in/latest/corporate/story/grasim-bets-big-on-new-growth-engines-as-revenue-nears-rs2-lakh-crore-550630-2026-08-21" TargetMode="External"/><Relationship Id="rId24" Type="http://schemas.openxmlformats.org/officeDocument/2006/relationships/hyperlink" Target="https://www.grasim.com/media/press-releases/grasim-earning-financial-results-q2fy2026" TargetMode="External"/><Relationship Id="rId25" Type="http://schemas.openxmlformats.org/officeDocument/2006/relationships/hyperlink" Target="https://tradingeconomics.com/india/government-bond-yield/news/583773" TargetMode="External"/><Relationship Id="rId26" Type="http://schemas.openxmlformats.org/officeDocument/2006/relationships/hyperlink" Target="https://www.icicidirect.com/mailcontent/idirect_asianpaints_q4fy26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6" t="s">
        <v>4</v>
      </c>
      <c r="B6" s="7" t="str">
        <f aca="false">Valuation!B44</f>
        <v>HOLD</v>
      </c>
      <c r="D6" s="8" t="s">
        <v>5</v>
      </c>
      <c r="E6" s="8"/>
      <c r="F6" s="9" t="n">
        <f aca="false">Historicals!E26</f>
        <v>45.0933069224354</v>
      </c>
    </row>
    <row r="7" customFormat="false" ht="15" hidden="false" customHeight="false" outlineLevel="0" collapsed="false">
      <c r="A7" s="6" t="s">
        <v>6</v>
      </c>
      <c r="B7" s="10" t="n">
        <f aca="false">Assumptions!B33</f>
        <v>2454</v>
      </c>
      <c r="D7" s="8" t="s">
        <v>7</v>
      </c>
      <c r="E7" s="8"/>
      <c r="F7" s="9" t="n">
        <f aca="false">Forecast!D37</f>
        <v>53.0964506216847</v>
      </c>
    </row>
    <row r="8" customFormat="false" ht="15" hidden="false" customHeight="false" outlineLevel="0" collapsed="false">
      <c r="A8" s="6" t="s">
        <v>8</v>
      </c>
      <c r="B8" s="10" t="n">
        <f aca="false">Valuation!B41</f>
        <v>2730</v>
      </c>
      <c r="D8" s="8" t="s">
        <v>9</v>
      </c>
      <c r="E8" s="8"/>
      <c r="F8" s="9" t="n">
        <f aca="false">Forecast!E37</f>
        <v>60.704900895944</v>
      </c>
    </row>
    <row r="9" customFormat="false" ht="15" hidden="false" customHeight="false" outlineLevel="0" collapsed="false">
      <c r="A9" s="6" t="s">
        <v>10</v>
      </c>
      <c r="B9" s="11" t="n">
        <f aca="false">Valuation!B43</f>
        <v>0.112469437652812</v>
      </c>
      <c r="D9" s="8" t="s">
        <v>11</v>
      </c>
      <c r="E9" s="8"/>
      <c r="F9" s="12" t="n">
        <f aca="false">Valuation!B45</f>
        <v>40.425072173439</v>
      </c>
    </row>
    <row r="10" customFormat="false" ht="15" hidden="false" customHeight="false" outlineLevel="0" collapsed="false">
      <c r="A10" s="6" t="s">
        <v>12</v>
      </c>
      <c r="B10" s="10" t="n">
        <f aca="false">DCF!B39</f>
        <v>1135.1862258588</v>
      </c>
      <c r="D10" s="8" t="s">
        <v>13</v>
      </c>
      <c r="E10" s="8"/>
      <c r="F10" s="13" t="n">
        <f aca="false">(Forecast!E15/Forecast!C15)^(1/2)-1</f>
        <v>0.11604536179422</v>
      </c>
    </row>
    <row r="11" customFormat="false" ht="15" hidden="false" customHeight="false" outlineLevel="0" collapsed="false">
      <c r="A11" s="6" t="s">
        <v>14</v>
      </c>
      <c r="B11" s="11" t="n">
        <f aca="false">DCF!B53</f>
        <v>0.0914</v>
      </c>
      <c r="D11" s="8" t="s">
        <v>15</v>
      </c>
      <c r="E11" s="8"/>
      <c r="F11" s="13" t="n">
        <f aca="false">Forecast!E26</f>
        <v>0.195</v>
      </c>
    </row>
    <row r="13" customFormat="false" ht="15" hidden="false" customHeight="false" outlineLevel="0" collapsed="false">
      <c r="A13" s="4" t="s">
        <v>16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14" t="s">
        <v>17</v>
      </c>
      <c r="B14" s="15" t="s">
        <v>18</v>
      </c>
      <c r="C14" s="15" t="s">
        <v>19</v>
      </c>
      <c r="D14" s="15" t="s">
        <v>20</v>
      </c>
      <c r="E14" s="16" t="s">
        <v>21</v>
      </c>
      <c r="F14" s="16"/>
    </row>
    <row r="15" customFormat="false" ht="15" hidden="false" customHeight="false" outlineLevel="0" collapsed="false">
      <c r="A15" s="6" t="s">
        <v>22</v>
      </c>
      <c r="B15" s="17" t="str">
        <f aca="false">TEXT(Assumptions!B32,"0.0")&amp;"x × ₹"&amp;TEXT(Forecast!E37,"0.0")</f>
        <v>45.0x × ₹60.7</v>
      </c>
      <c r="C15" s="18" t="n">
        <f aca="false">Valuation!B41</f>
        <v>2730</v>
      </c>
      <c r="D15" s="19" t="n">
        <f aca="false">C15/Assumptions!$B$33-1</f>
        <v>0.112469437652812</v>
      </c>
      <c r="E15" s="20" t="s">
        <v>23</v>
      </c>
      <c r="F15" s="20"/>
    </row>
    <row r="16" customFormat="false" ht="15" hidden="false" customHeight="false" outlineLevel="0" collapsed="false">
      <c r="A16" s="6" t="s">
        <v>24</v>
      </c>
      <c r="B16" s="17" t="str">
        <f aca="false">"WACC "&amp;TEXT(DCF!B14,"0.0%")&amp;", g "&amp;TEXT(DCF!B15,"0.0%")</f>
        <v>WACC 10.9%, g 6.0%</v>
      </c>
      <c r="C16" s="18" t="n">
        <f aca="false">DCF!B39</f>
        <v>1135.1862258588</v>
      </c>
      <c r="D16" s="19" t="n">
        <f aca="false">C16/Assumptions!$B$33-1</f>
        <v>-0.537413925892909</v>
      </c>
      <c r="E16" s="20" t="s">
        <v>25</v>
      </c>
      <c r="F16" s="20"/>
    </row>
    <row r="17" customFormat="false" ht="15" hidden="false" customHeight="false" outlineLevel="0" collapsed="false">
      <c r="A17" s="6" t="s">
        <v>26</v>
      </c>
      <c r="B17" s="21" t="s">
        <v>27</v>
      </c>
      <c r="C17" s="18" t="n">
        <f aca="false">Scenarios!B39</f>
        <v>2750</v>
      </c>
      <c r="D17" s="19" t="n">
        <f aca="false">C17/Assumptions!$B$33-1</f>
        <v>0.120619396903015</v>
      </c>
      <c r="E17" s="20" t="s">
        <v>28</v>
      </c>
      <c r="F17" s="20"/>
    </row>
    <row r="19" customFormat="false" ht="15" hidden="false" customHeight="false" outlineLevel="0" collapsed="false">
      <c r="A19" s="4" t="s">
        <v>29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14" t="s">
        <v>30</v>
      </c>
      <c r="B20" s="15" t="s">
        <v>31</v>
      </c>
      <c r="C20" s="15" t="s">
        <v>32</v>
      </c>
      <c r="D20" s="15" t="s">
        <v>33</v>
      </c>
      <c r="E20" s="16" t="s">
        <v>34</v>
      </c>
      <c r="F20" s="16"/>
    </row>
    <row r="21" customFormat="false" ht="15" hidden="false" customHeight="false" outlineLevel="0" collapsed="false">
      <c r="A21" s="6" t="s">
        <v>35</v>
      </c>
      <c r="B21" s="22" t="n">
        <f aca="false">Scenarios!C6</f>
        <v>0.05</v>
      </c>
      <c r="C21" s="22" t="n">
        <f aca="false">Scenarios!E6</f>
        <v>0.08</v>
      </c>
      <c r="D21" s="22" t="n">
        <f aca="false">Scenarios!G6</f>
        <v>0.1</v>
      </c>
      <c r="E21" s="23" t="s">
        <v>36</v>
      </c>
      <c r="F21" s="23"/>
    </row>
    <row r="22" customFormat="false" ht="15" hidden="false" customHeight="false" outlineLevel="0" collapsed="false">
      <c r="A22" s="6" t="s">
        <v>37</v>
      </c>
      <c r="B22" s="22" t="n">
        <f aca="false">Scenarios!C7</f>
        <v>-0.01</v>
      </c>
      <c r="C22" s="22" t="n">
        <f aca="false">Scenarios!E7</f>
        <v>0.01</v>
      </c>
      <c r="D22" s="22" t="n">
        <f aca="false">Scenarios!G7</f>
        <v>0.02</v>
      </c>
      <c r="E22" s="23" t="s">
        <v>36</v>
      </c>
      <c r="F22" s="23"/>
    </row>
    <row r="23" customFormat="false" ht="15" hidden="false" customHeight="false" outlineLevel="0" collapsed="false">
      <c r="A23" s="6" t="s">
        <v>38</v>
      </c>
      <c r="B23" s="22" t="n">
        <f aca="false">Scenarios!C10</f>
        <v>0.42</v>
      </c>
      <c r="C23" s="22" t="n">
        <f aca="false">Scenarios!E10</f>
        <v>0.435</v>
      </c>
      <c r="D23" s="22" t="n">
        <f aca="false">Scenarios!G10</f>
        <v>0.444</v>
      </c>
      <c r="E23" s="23" t="s">
        <v>36</v>
      </c>
      <c r="F23" s="23"/>
    </row>
    <row r="24" customFormat="false" ht="15" hidden="false" customHeight="false" outlineLevel="0" collapsed="false">
      <c r="A24" s="6" t="s">
        <v>39</v>
      </c>
      <c r="B24" s="22" t="n">
        <f aca="false">Scenarios!B33</f>
        <v>0.176</v>
      </c>
      <c r="C24" s="22" t="n">
        <f aca="false">Scenarios!C33</f>
        <v>0.195</v>
      </c>
      <c r="D24" s="22" t="n">
        <f aca="false">Scenarios!D33</f>
        <v>0.209</v>
      </c>
      <c r="E24" s="23" t="s">
        <v>40</v>
      </c>
      <c r="F24" s="23"/>
    </row>
    <row r="25" customFormat="false" ht="15" hidden="false" customHeight="false" outlineLevel="0" collapsed="false">
      <c r="A25" s="6" t="s">
        <v>41</v>
      </c>
      <c r="B25" s="24" t="n">
        <f aca="false">Scenarios!B34</f>
        <v>49.465960640443</v>
      </c>
      <c r="C25" s="24" t="n">
        <f aca="false">Scenarios!C34</f>
        <v>60.704900895944</v>
      </c>
      <c r="D25" s="24" t="n">
        <f aca="false">Scenarios!D34</f>
        <v>68.5488400650235</v>
      </c>
      <c r="E25" s="23" t="s">
        <v>40</v>
      </c>
      <c r="F25" s="23"/>
    </row>
    <row r="26" customFormat="false" ht="15" hidden="false" customHeight="false" outlineLevel="0" collapsed="false">
      <c r="A26" s="6" t="s">
        <v>42</v>
      </c>
      <c r="B26" s="25" t="n">
        <f aca="false">Scenarios!B35</f>
        <v>40</v>
      </c>
      <c r="C26" s="25" t="n">
        <f aca="false">Scenarios!C35</f>
        <v>45</v>
      </c>
      <c r="D26" s="25" t="n">
        <f aca="false">Scenarios!D35</f>
        <v>52</v>
      </c>
      <c r="E26" s="23" t="s">
        <v>36</v>
      </c>
      <c r="F26" s="23"/>
    </row>
    <row r="27" customFormat="false" ht="15" hidden="false" customHeight="false" outlineLevel="0" collapsed="false">
      <c r="A27" s="26" t="s">
        <v>43</v>
      </c>
      <c r="B27" s="10" t="n">
        <f aca="false">Scenarios!B36</f>
        <v>1980</v>
      </c>
      <c r="C27" s="10" t="n">
        <f aca="false">Scenarios!C36</f>
        <v>2730</v>
      </c>
      <c r="D27" s="10" t="n">
        <f aca="false">Scenarios!D36</f>
        <v>3560</v>
      </c>
      <c r="E27" s="23" t="s">
        <v>40</v>
      </c>
      <c r="F27" s="23"/>
    </row>
    <row r="28" customFormat="false" ht="15" hidden="false" customHeight="false" outlineLevel="0" collapsed="false">
      <c r="A28" s="6" t="s">
        <v>10</v>
      </c>
      <c r="B28" s="22" t="n">
        <f aca="false">Scenarios!B37</f>
        <v>-0.193154034229829</v>
      </c>
      <c r="C28" s="22" t="n">
        <f aca="false">Scenarios!C37</f>
        <v>0.112469437652812</v>
      </c>
      <c r="D28" s="22" t="n">
        <f aca="false">Scenarios!D37</f>
        <v>0.450692746536267</v>
      </c>
      <c r="E28" s="23" t="s">
        <v>40</v>
      </c>
      <c r="F28" s="23"/>
    </row>
    <row r="30" customFormat="false" ht="15" hidden="false" customHeight="false" outlineLevel="0" collapsed="false">
      <c r="A30" s="4" t="s">
        <v>44</v>
      </c>
      <c r="B30" s="5"/>
      <c r="C30" s="5"/>
      <c r="D30" s="5"/>
      <c r="E30" s="5"/>
      <c r="F30" s="5"/>
    </row>
    <row r="31" customFormat="false" ht="15" hidden="false" customHeight="false" outlineLevel="0" collapsed="false">
      <c r="A31" s="14" t="s">
        <v>36</v>
      </c>
      <c r="B31" s="15" t="s">
        <v>45</v>
      </c>
      <c r="C31" s="27" t="s">
        <v>46</v>
      </c>
      <c r="D31" s="27" t="s">
        <v>47</v>
      </c>
      <c r="E31" s="16" t="s">
        <v>48</v>
      </c>
      <c r="F31" s="16"/>
    </row>
    <row r="32" customFormat="false" ht="15" hidden="false" customHeight="false" outlineLevel="0" collapsed="false">
      <c r="A32" s="6" t="s">
        <v>49</v>
      </c>
      <c r="B32" s="22" t="n">
        <f aca="false">Forecast!C6</f>
        <v>0.09</v>
      </c>
      <c r="C32" s="22" t="n">
        <f aca="false">Forecast!D6</f>
        <v>0.09</v>
      </c>
      <c r="D32" s="22" t="n">
        <f aca="false">Forecast!E6</f>
        <v>0.08</v>
      </c>
      <c r="E32" s="23" t="s">
        <v>50</v>
      </c>
      <c r="F32" s="23"/>
    </row>
    <row r="33" customFormat="false" ht="15" hidden="false" customHeight="false" outlineLevel="0" collapsed="false">
      <c r="A33" s="6" t="s">
        <v>51</v>
      </c>
      <c r="B33" s="22" t="n">
        <f aca="false">Forecast!C7</f>
        <v>-0.043119266055046</v>
      </c>
      <c r="C33" s="22" t="n">
        <f aca="false">Forecast!D7</f>
        <v>0.05</v>
      </c>
      <c r="D33" s="22" t="n">
        <f aca="false">Forecast!E7</f>
        <v>0.01</v>
      </c>
      <c r="E33" s="23" t="s">
        <v>52</v>
      </c>
      <c r="F33" s="23"/>
    </row>
    <row r="34" customFormat="false" ht="15" hidden="false" customHeight="false" outlineLevel="0" collapsed="false">
      <c r="A34" s="6" t="s">
        <v>53</v>
      </c>
      <c r="B34" s="22" t="n">
        <f aca="false">Forecast!C10</f>
        <v>0.0936603182885467</v>
      </c>
      <c r="C34" s="22" t="n">
        <f aca="false">Forecast!D10</f>
        <v>0.12</v>
      </c>
      <c r="D34" s="22" t="n">
        <f aca="false">Forecast!E10</f>
        <v>0.09</v>
      </c>
      <c r="E34" s="23" t="s">
        <v>54</v>
      </c>
      <c r="F34" s="23"/>
    </row>
    <row r="35" customFormat="false" ht="15" hidden="false" customHeight="false" outlineLevel="0" collapsed="false">
      <c r="A35" s="6" t="s">
        <v>55</v>
      </c>
      <c r="B35" s="22" t="n">
        <f aca="false">Forecast!C12</f>
        <v>0.123724382221473</v>
      </c>
      <c r="C35" s="22" t="n">
        <f aca="false">Forecast!D12</f>
        <v>0.14</v>
      </c>
      <c r="D35" s="22" t="n">
        <f aca="false">Forecast!E12</f>
        <v>0.1</v>
      </c>
      <c r="E35" s="23" t="s">
        <v>56</v>
      </c>
      <c r="F35" s="23"/>
    </row>
    <row r="36" customFormat="false" ht="15" hidden="false" customHeight="false" outlineLevel="0" collapsed="false">
      <c r="A36" s="6" t="s">
        <v>57</v>
      </c>
      <c r="B36" s="22" t="n">
        <f aca="false">Forecast!C19</f>
        <v>0.437892351351215</v>
      </c>
      <c r="C36" s="22" t="n">
        <f aca="false">Forecast!D19</f>
        <v>0.428</v>
      </c>
      <c r="D36" s="22" t="n">
        <f aca="false">Forecast!E19</f>
        <v>0.435</v>
      </c>
      <c r="E36" s="23" t="s">
        <v>58</v>
      </c>
      <c r="F36" s="23"/>
    </row>
    <row r="37" customFormat="false" ht="15" hidden="false" customHeight="false" outlineLevel="0" collapsed="false">
      <c r="A37" s="6" t="s">
        <v>59</v>
      </c>
      <c r="B37" s="22" t="n">
        <f aca="false">Forecast!C21</f>
        <v>0.0786765453914928</v>
      </c>
      <c r="C37" s="22" t="n">
        <f aca="false">Forecast!D21</f>
        <v>0.075</v>
      </c>
      <c r="D37" s="22" t="n">
        <f aca="false">Forecast!E21</f>
        <v>0.074</v>
      </c>
      <c r="E37" s="23" t="s">
        <v>60</v>
      </c>
      <c r="F37" s="23"/>
    </row>
    <row r="38" customFormat="false" ht="15" hidden="false" customHeight="false" outlineLevel="0" collapsed="false">
      <c r="A38" s="6" t="s">
        <v>61</v>
      </c>
      <c r="B38" s="22" t="n">
        <f aca="false">Forecast!C23</f>
        <v>0.17104116116609</v>
      </c>
      <c r="C38" s="22" t="n">
        <f aca="false">Forecast!D23</f>
        <v>0.166</v>
      </c>
      <c r="D38" s="22" t="n">
        <f aca="false">Forecast!E23</f>
        <v>0.166</v>
      </c>
      <c r="E38" s="23" t="s">
        <v>62</v>
      </c>
      <c r="F38" s="23"/>
    </row>
    <row r="39" customFormat="false" ht="15" hidden="false" customHeight="false" outlineLevel="0" collapsed="false">
      <c r="A39" s="6" t="s">
        <v>63</v>
      </c>
      <c r="B39" s="22" t="n">
        <f aca="false">Forecast!C26</f>
        <v>0.188174327499185</v>
      </c>
      <c r="C39" s="22" t="n">
        <f aca="false">Forecast!D26</f>
        <v>0.187</v>
      </c>
      <c r="D39" s="22" t="n">
        <f aca="false">Forecast!E26</f>
        <v>0.195</v>
      </c>
      <c r="E39" s="23" t="s">
        <v>64</v>
      </c>
      <c r="F39" s="23"/>
    </row>
    <row r="40" customFormat="false" ht="15" hidden="false" customHeight="false" outlineLevel="0" collapsed="false">
      <c r="A40" s="6" t="s">
        <v>65</v>
      </c>
      <c r="B40" s="22" t="n">
        <f aca="false">Forecast!C46</f>
        <v>0.0412274888895259</v>
      </c>
      <c r="C40" s="22" t="n">
        <f aca="false">Forecast!D46</f>
        <v>0.045</v>
      </c>
      <c r="D40" s="22" t="n">
        <f aca="false">Forecast!E46</f>
        <v>0.04</v>
      </c>
      <c r="E40" s="23" t="s">
        <v>66</v>
      </c>
      <c r="F40" s="23"/>
    </row>
    <row r="41" customFormat="false" ht="15" hidden="false" customHeight="false" outlineLevel="0" collapsed="false">
      <c r="A41" s="6" t="s">
        <v>67</v>
      </c>
      <c r="B41" s="22" t="n">
        <f aca="false">Forecast!C33</f>
        <v>0.27557234255762</v>
      </c>
      <c r="C41" s="22" t="n">
        <f aca="false">Forecast!D33</f>
        <v>0.26</v>
      </c>
      <c r="D41" s="22" t="n">
        <f aca="false">Forecast!E33</f>
        <v>0.26</v>
      </c>
      <c r="E41" s="23" t="s">
        <v>68</v>
      </c>
      <c r="F41" s="23"/>
    </row>
    <row r="43" customFormat="false" ht="15" hidden="false" customHeight="false" outlineLevel="0" collapsed="false">
      <c r="A43" s="6" t="s">
        <v>69</v>
      </c>
      <c r="D43" s="22" t="n">
        <f aca="false">DCF!B14</f>
        <v>0.108613466382463</v>
      </c>
      <c r="E43" s="23" t="s">
        <v>70</v>
      </c>
      <c r="F43" s="23"/>
    </row>
    <row r="44" customFormat="false" ht="15" hidden="false" customHeight="false" outlineLevel="0" collapsed="false">
      <c r="A44" s="6" t="s">
        <v>71</v>
      </c>
      <c r="D44" s="22" t="n">
        <f aca="false">Assumptions!B31</f>
        <v>0.06</v>
      </c>
      <c r="E44" s="23" t="s">
        <v>72</v>
      </c>
      <c r="F44" s="23"/>
    </row>
    <row r="45" customFormat="false" ht="15" hidden="false" customHeight="false" outlineLevel="0" collapsed="false">
      <c r="A45" s="6" t="s">
        <v>73</v>
      </c>
      <c r="D45" s="25" t="n">
        <f aca="false">Assumptions!B32</f>
        <v>45</v>
      </c>
      <c r="E45" s="23" t="s">
        <v>72</v>
      </c>
      <c r="F45" s="23"/>
    </row>
    <row r="47" customFormat="false" ht="15" hidden="false" customHeight="false" outlineLevel="0" collapsed="false">
      <c r="A47" s="4" t="s">
        <v>74</v>
      </c>
      <c r="B47" s="5"/>
      <c r="C47" s="5"/>
      <c r="D47" s="5"/>
      <c r="E47" s="5"/>
      <c r="F47" s="5"/>
    </row>
    <row r="48" customFormat="false" ht="19.5" hidden="false" customHeight="true" outlineLevel="0" collapsed="false">
      <c r="A48" s="28" t="s">
        <v>75</v>
      </c>
      <c r="B48" s="28"/>
      <c r="C48" s="28"/>
      <c r="D48" s="28"/>
      <c r="E48" s="28"/>
      <c r="F48" s="28"/>
    </row>
    <row r="49" customFormat="false" ht="19.5" hidden="false" customHeight="true" outlineLevel="0" collapsed="false">
      <c r="A49" s="28"/>
      <c r="B49" s="28"/>
      <c r="C49" s="28"/>
      <c r="D49" s="28"/>
      <c r="E49" s="28"/>
      <c r="F49" s="28"/>
    </row>
    <row r="50" customFormat="false" ht="19.5" hidden="false" customHeight="true" outlineLevel="0" collapsed="false">
      <c r="A50" s="28"/>
      <c r="B50" s="28"/>
      <c r="C50" s="28"/>
      <c r="D50" s="28"/>
      <c r="E50" s="28"/>
      <c r="F50" s="28"/>
    </row>
    <row r="52" customFormat="false" ht="15" hidden="false" customHeight="false" outlineLevel="0" collapsed="false">
      <c r="A52" s="4" t="s">
        <v>76</v>
      </c>
      <c r="B52" s="5"/>
      <c r="C52" s="5"/>
      <c r="D52" s="5"/>
      <c r="E52" s="5"/>
      <c r="F52" s="5"/>
    </row>
    <row r="53" customFormat="false" ht="15" hidden="false" customHeight="false" outlineLevel="0" collapsed="false">
      <c r="A53" s="26" t="s">
        <v>77</v>
      </c>
      <c r="B53" s="29" t="s">
        <v>78</v>
      </c>
      <c r="C53" s="29"/>
      <c r="D53" s="29"/>
      <c r="E53" s="29"/>
      <c r="F53" s="29"/>
    </row>
    <row r="54" customFormat="false" ht="15" hidden="false" customHeight="false" outlineLevel="0" collapsed="false">
      <c r="A54" s="26" t="s">
        <v>79</v>
      </c>
      <c r="B54" s="29" t="s">
        <v>80</v>
      </c>
      <c r="C54" s="29"/>
      <c r="D54" s="29"/>
      <c r="E54" s="29"/>
      <c r="F54" s="29"/>
    </row>
    <row r="55" customFormat="false" ht="15" hidden="false" customHeight="false" outlineLevel="0" collapsed="false">
      <c r="A55" s="26" t="s">
        <v>81</v>
      </c>
      <c r="B55" s="29" t="s">
        <v>82</v>
      </c>
      <c r="C55" s="29"/>
      <c r="D55" s="29"/>
      <c r="E55" s="29"/>
      <c r="F55" s="29"/>
    </row>
    <row r="56" customFormat="false" ht="15" hidden="false" customHeight="false" outlineLevel="0" collapsed="false">
      <c r="A56" s="26" t="s">
        <v>83</v>
      </c>
      <c r="B56" s="29" t="s">
        <v>84</v>
      </c>
      <c r="C56" s="29"/>
      <c r="D56" s="29"/>
      <c r="E56" s="29"/>
      <c r="F56" s="29"/>
    </row>
    <row r="57" customFormat="false" ht="15" hidden="false" customHeight="false" outlineLevel="0" collapsed="false">
      <c r="A57" s="26" t="s">
        <v>85</v>
      </c>
      <c r="B57" s="29" t="s">
        <v>86</v>
      </c>
      <c r="C57" s="29"/>
      <c r="D57" s="29"/>
      <c r="E57" s="29"/>
      <c r="F57" s="29"/>
    </row>
    <row r="58" customFormat="false" ht="15" hidden="false" customHeight="false" outlineLevel="0" collapsed="false">
      <c r="A58" s="26" t="s">
        <v>87</v>
      </c>
      <c r="B58" s="29" t="s">
        <v>88</v>
      </c>
      <c r="C58" s="29"/>
      <c r="D58" s="29"/>
      <c r="E58" s="29"/>
      <c r="F58" s="29"/>
    </row>
    <row r="59" customFormat="false" ht="15" hidden="false" customHeight="false" outlineLevel="0" collapsed="false">
      <c r="A59" s="26" t="s">
        <v>89</v>
      </c>
      <c r="B59" s="29" t="s">
        <v>90</v>
      </c>
      <c r="C59" s="29"/>
      <c r="D59" s="29"/>
      <c r="E59" s="29"/>
      <c r="F59" s="29"/>
    </row>
    <row r="60" customFormat="false" ht="15" hidden="false" customHeight="false" outlineLevel="0" collapsed="false">
      <c r="A60" s="26" t="s">
        <v>91</v>
      </c>
      <c r="B60" s="29" t="s">
        <v>92</v>
      </c>
      <c r="C60" s="29"/>
      <c r="D60" s="29"/>
      <c r="E60" s="29"/>
      <c r="F60" s="29"/>
    </row>
    <row r="61" customFormat="false" ht="15" hidden="false" customHeight="false" outlineLevel="0" collapsed="false">
      <c r="A61" s="26" t="s">
        <v>93</v>
      </c>
      <c r="B61" s="29" t="s">
        <v>94</v>
      </c>
      <c r="C61" s="29"/>
      <c r="D61" s="29"/>
      <c r="E61" s="29"/>
      <c r="F61" s="29"/>
    </row>
    <row r="63" customFormat="false" ht="15" hidden="false" customHeight="false" outlineLevel="0" collapsed="false">
      <c r="A63" s="4" t="s">
        <v>95</v>
      </c>
      <c r="B63" s="5"/>
      <c r="C63" s="5"/>
      <c r="D63" s="5"/>
      <c r="E63" s="5"/>
      <c r="F63" s="5"/>
    </row>
    <row r="64" customFormat="false" ht="15" hidden="false" customHeight="false" outlineLevel="0" collapsed="false">
      <c r="A64" s="30" t="s">
        <v>96</v>
      </c>
      <c r="B64" s="29" t="s">
        <v>97</v>
      </c>
      <c r="C64" s="29"/>
      <c r="D64" s="29"/>
      <c r="E64" s="29"/>
      <c r="F64" s="29"/>
    </row>
    <row r="65" customFormat="false" ht="15" hidden="false" customHeight="false" outlineLevel="0" collapsed="false">
      <c r="A65" s="6" t="s">
        <v>98</v>
      </c>
      <c r="B65" s="29" t="s">
        <v>99</v>
      </c>
      <c r="C65" s="29"/>
      <c r="D65" s="29"/>
      <c r="E65" s="29"/>
      <c r="F65" s="29"/>
    </row>
    <row r="66" customFormat="false" ht="15" hidden="false" customHeight="false" outlineLevel="0" collapsed="false">
      <c r="A66" s="31" t="s">
        <v>100</v>
      </c>
      <c r="B66" s="29" t="s">
        <v>101</v>
      </c>
      <c r="C66" s="29"/>
      <c r="D66" s="29"/>
      <c r="E66" s="29"/>
      <c r="F66" s="29"/>
    </row>
    <row r="67" customFormat="false" ht="15" hidden="false" customHeight="false" outlineLevel="0" collapsed="false">
      <c r="A67" s="32" t="s">
        <v>102</v>
      </c>
      <c r="B67" s="29" t="s">
        <v>103</v>
      </c>
      <c r="C67" s="29"/>
      <c r="D67" s="29"/>
      <c r="E67" s="29"/>
      <c r="F67" s="29"/>
    </row>
    <row r="68" customFormat="false" ht="15" hidden="false" customHeight="false" outlineLevel="0" collapsed="false">
      <c r="A68" s="26" t="s">
        <v>104</v>
      </c>
      <c r="B68" s="29" t="s">
        <v>105</v>
      </c>
      <c r="C68" s="29"/>
      <c r="D68" s="29"/>
      <c r="E68" s="29"/>
      <c r="F68" s="29"/>
    </row>
  </sheetData>
  <mergeCells count="48">
    <mergeCell ref="D6:E6"/>
    <mergeCell ref="D7:E7"/>
    <mergeCell ref="D8:E8"/>
    <mergeCell ref="D9:E9"/>
    <mergeCell ref="D10:E10"/>
    <mergeCell ref="D11:E11"/>
    <mergeCell ref="E14:F14"/>
    <mergeCell ref="E15:F15"/>
    <mergeCell ref="E16:F16"/>
    <mergeCell ref="E17:F17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3:F43"/>
    <mergeCell ref="E44:F44"/>
    <mergeCell ref="E45:F45"/>
    <mergeCell ref="A48:F50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9"/>
    <col collapsed="false" customWidth="true" hidden="false" outlineLevel="0" max="7" min="7" style="0" width="6"/>
    <col collapsed="false" customWidth="true" hidden="false" outlineLevel="0" max="8" min="8" style="0" width="34"/>
    <col collapsed="false" customWidth="true" hidden="false" outlineLevel="0" max="9" min="9" style="0" width="28"/>
    <col collapsed="false" customWidth="true" hidden="false" outlineLevel="0" max="10" min="10" style="0" width="58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33" t="s">
        <v>106</v>
      </c>
    </row>
    <row r="2" customFormat="false" ht="15" hidden="false" customHeight="false" outlineLevel="0" collapsed="false">
      <c r="A2" s="3" t="s">
        <v>107</v>
      </c>
    </row>
    <row r="4" customFormat="false" ht="30" hidden="false" customHeight="true" outlineLevel="0" collapsed="false">
      <c r="A4" s="14" t="s">
        <v>36</v>
      </c>
      <c r="B4" s="27" t="s">
        <v>46</v>
      </c>
      <c r="C4" s="27" t="s">
        <v>47</v>
      </c>
      <c r="D4" s="27" t="s">
        <v>108</v>
      </c>
      <c r="E4" s="27" t="s">
        <v>109</v>
      </c>
      <c r="F4" s="27" t="s">
        <v>110</v>
      </c>
      <c r="G4" s="15" t="s">
        <v>111</v>
      </c>
      <c r="H4" s="15" t="s">
        <v>112</v>
      </c>
      <c r="I4" s="15" t="s">
        <v>113</v>
      </c>
      <c r="J4" s="15" t="s">
        <v>114</v>
      </c>
      <c r="K4" s="15" t="s">
        <v>115</v>
      </c>
    </row>
    <row r="5" customFormat="false" ht="15" hidden="false" customHeight="false" outlineLevel="0" collapsed="false">
      <c r="A5" s="4" t="s">
        <v>116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6" t="s">
        <v>49</v>
      </c>
      <c r="B6" s="34" t="n">
        <v>0.09</v>
      </c>
      <c r="C6" s="34" t="n">
        <v>0.08</v>
      </c>
      <c r="D6" s="34" t="n">
        <v>0.08</v>
      </c>
      <c r="E6" s="34" t="n">
        <v>0.075</v>
      </c>
      <c r="F6" s="34" t="n">
        <v>0.07</v>
      </c>
      <c r="G6" s="35" t="s">
        <v>117</v>
      </c>
      <c r="H6" s="35" t="s">
        <v>118</v>
      </c>
      <c r="I6" s="35" t="s">
        <v>119</v>
      </c>
      <c r="J6" s="35" t="s">
        <v>120</v>
      </c>
      <c r="K6" s="35" t="s">
        <v>121</v>
      </c>
    </row>
    <row r="7" customFormat="false" ht="15" hidden="false" customHeight="false" outlineLevel="0" collapsed="false">
      <c r="A7" s="6" t="s">
        <v>122</v>
      </c>
      <c r="B7" s="34" t="n">
        <v>0.05</v>
      </c>
      <c r="C7" s="34" t="n">
        <v>0.01</v>
      </c>
      <c r="D7" s="34" t="n">
        <v>0.01</v>
      </c>
      <c r="E7" s="34" t="n">
        <v>0.01</v>
      </c>
      <c r="F7" s="34" t="n">
        <v>0.01</v>
      </c>
      <c r="G7" s="35" t="s">
        <v>123</v>
      </c>
      <c r="H7" s="35" t="s">
        <v>124</v>
      </c>
      <c r="I7" s="35" t="s">
        <v>125</v>
      </c>
      <c r="J7" s="35" t="s">
        <v>126</v>
      </c>
      <c r="K7" s="35" t="s">
        <v>127</v>
      </c>
    </row>
    <row r="8" customFormat="false" ht="15" hidden="false" customHeight="false" outlineLevel="0" collapsed="false">
      <c r="A8" s="6" t="s">
        <v>128</v>
      </c>
      <c r="B8" s="36" t="n">
        <v>0.12</v>
      </c>
      <c r="C8" s="36" t="n">
        <v>0.09</v>
      </c>
      <c r="D8" s="36" t="n">
        <v>0.09</v>
      </c>
      <c r="E8" s="36" t="n">
        <v>0.08</v>
      </c>
      <c r="F8" s="36" t="n">
        <v>0.08</v>
      </c>
      <c r="G8" s="35" t="s">
        <v>123</v>
      </c>
      <c r="H8" s="35" t="s">
        <v>129</v>
      </c>
      <c r="I8" s="35" t="s">
        <v>130</v>
      </c>
      <c r="J8" s="35" t="s">
        <v>131</v>
      </c>
      <c r="K8" s="35" t="s">
        <v>132</v>
      </c>
    </row>
    <row r="9" customFormat="false" ht="15" hidden="false" customHeight="false" outlineLevel="0" collapsed="false">
      <c r="A9" s="6" t="s">
        <v>133</v>
      </c>
      <c r="B9" s="36" t="n">
        <v>0.14</v>
      </c>
      <c r="C9" s="36" t="n">
        <v>0.1</v>
      </c>
      <c r="D9" s="36" t="n">
        <v>0.1</v>
      </c>
      <c r="E9" s="36" t="n">
        <v>0.09</v>
      </c>
      <c r="F9" s="36" t="n">
        <v>0.09</v>
      </c>
      <c r="G9" s="35" t="s">
        <v>123</v>
      </c>
      <c r="H9" s="35" t="s">
        <v>134</v>
      </c>
      <c r="I9" s="35" t="s">
        <v>135</v>
      </c>
      <c r="J9" s="35" t="s">
        <v>136</v>
      </c>
      <c r="K9" s="35" t="s">
        <v>137</v>
      </c>
    </row>
    <row r="10" customFormat="false" ht="15" hidden="false" customHeight="false" outlineLevel="0" collapsed="false">
      <c r="A10" s="6" t="s">
        <v>138</v>
      </c>
      <c r="B10" s="37" t="n">
        <v>67.2</v>
      </c>
      <c r="C10" s="37" t="n">
        <v>67.2</v>
      </c>
      <c r="D10" s="37" t="n">
        <v>67.2</v>
      </c>
      <c r="E10" s="37" t="n">
        <v>67.2</v>
      </c>
      <c r="F10" s="37" t="n">
        <v>67.2</v>
      </c>
      <c r="G10" s="35" t="s">
        <v>123</v>
      </c>
      <c r="H10" s="35" t="s">
        <v>139</v>
      </c>
      <c r="I10" s="35" t="s">
        <v>140</v>
      </c>
      <c r="J10" s="35" t="s">
        <v>141</v>
      </c>
      <c r="K10" s="35" t="s">
        <v>142</v>
      </c>
    </row>
    <row r="11" customFormat="false" ht="15" hidden="false" customHeight="false" outlineLevel="0" collapsed="false">
      <c r="A11" s="4" t="s">
        <v>143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5" hidden="false" customHeight="false" outlineLevel="0" collapsed="false">
      <c r="A12" s="6" t="s">
        <v>144</v>
      </c>
      <c r="B12" s="34" t="n">
        <v>0.428</v>
      </c>
      <c r="C12" s="34" t="n">
        <v>0.435</v>
      </c>
      <c r="D12" s="34" t="n">
        <v>0.438</v>
      </c>
      <c r="E12" s="34" t="n">
        <v>0.44</v>
      </c>
      <c r="F12" s="34" t="n">
        <v>0.44</v>
      </c>
      <c r="G12" s="35" t="s">
        <v>123</v>
      </c>
      <c r="H12" s="35" t="s">
        <v>145</v>
      </c>
      <c r="I12" s="35" t="s">
        <v>146</v>
      </c>
      <c r="J12" s="35" t="s">
        <v>147</v>
      </c>
      <c r="K12" s="35" t="s">
        <v>148</v>
      </c>
    </row>
    <row r="13" customFormat="false" ht="15" hidden="false" customHeight="false" outlineLevel="0" collapsed="false">
      <c r="A13" s="6" t="s">
        <v>59</v>
      </c>
      <c r="B13" s="36" t="n">
        <v>0.075</v>
      </c>
      <c r="C13" s="36" t="n">
        <v>0.074</v>
      </c>
      <c r="D13" s="36" t="n">
        <v>0.073</v>
      </c>
      <c r="E13" s="36" t="n">
        <v>0.073</v>
      </c>
      <c r="F13" s="36" t="n">
        <v>0.073</v>
      </c>
      <c r="G13" s="35" t="s">
        <v>123</v>
      </c>
      <c r="H13" s="35" t="s">
        <v>149</v>
      </c>
      <c r="I13" s="35" t="s">
        <v>140</v>
      </c>
      <c r="J13" s="35" t="s">
        <v>150</v>
      </c>
      <c r="K13" s="35" t="s">
        <v>151</v>
      </c>
    </row>
    <row r="14" customFormat="false" ht="15" hidden="false" customHeight="false" outlineLevel="0" collapsed="false">
      <c r="A14" s="6" t="s">
        <v>61</v>
      </c>
      <c r="B14" s="34" t="n">
        <v>0.166</v>
      </c>
      <c r="C14" s="34" t="n">
        <v>0.166</v>
      </c>
      <c r="D14" s="34" t="n">
        <v>0.167</v>
      </c>
      <c r="E14" s="34" t="n">
        <v>0.168</v>
      </c>
      <c r="F14" s="34" t="n">
        <v>0.168</v>
      </c>
      <c r="G14" s="35" t="s">
        <v>123</v>
      </c>
      <c r="H14" s="35" t="s">
        <v>152</v>
      </c>
      <c r="I14" s="35" t="s">
        <v>153</v>
      </c>
      <c r="J14" s="35" t="s">
        <v>154</v>
      </c>
      <c r="K14" s="35" t="s">
        <v>151</v>
      </c>
    </row>
    <row r="15" customFormat="false" ht="15" hidden="false" customHeight="false" outlineLevel="0" collapsed="false">
      <c r="A15" s="6" t="s">
        <v>155</v>
      </c>
      <c r="B15" s="36" t="n">
        <v>0.034</v>
      </c>
      <c r="C15" s="36" t="n">
        <v>0.034</v>
      </c>
      <c r="D15" s="36" t="n">
        <v>0.034</v>
      </c>
      <c r="E15" s="36" t="n">
        <v>0.034</v>
      </c>
      <c r="F15" s="36" t="n">
        <v>0.034</v>
      </c>
      <c r="G15" s="35" t="s">
        <v>123</v>
      </c>
      <c r="H15" s="35" t="s">
        <v>156</v>
      </c>
      <c r="I15" s="35" t="s">
        <v>140</v>
      </c>
      <c r="J15" s="35" t="s">
        <v>157</v>
      </c>
      <c r="K15" s="35" t="s">
        <v>158</v>
      </c>
    </row>
    <row r="16" customFormat="false" ht="15" hidden="false" customHeight="false" outlineLevel="0" collapsed="false">
      <c r="A16" s="6" t="s">
        <v>159</v>
      </c>
      <c r="B16" s="36" t="n">
        <v>0.018</v>
      </c>
      <c r="C16" s="36" t="n">
        <v>0.018</v>
      </c>
      <c r="D16" s="36" t="n">
        <v>0.018</v>
      </c>
      <c r="E16" s="36" t="n">
        <v>0.018</v>
      </c>
      <c r="F16" s="36" t="n">
        <v>0.018</v>
      </c>
      <c r="G16" s="35" t="s">
        <v>123</v>
      </c>
      <c r="H16" s="35" t="s">
        <v>160</v>
      </c>
      <c r="I16" s="35" t="s">
        <v>140</v>
      </c>
      <c r="J16" s="35" t="s">
        <v>161</v>
      </c>
      <c r="K16" s="35" t="s">
        <v>158</v>
      </c>
    </row>
    <row r="17" customFormat="false" ht="15" hidden="false" customHeight="false" outlineLevel="0" collapsed="false">
      <c r="A17" s="6" t="s">
        <v>162</v>
      </c>
      <c r="B17" s="38" t="n">
        <v>200</v>
      </c>
      <c r="C17" s="38" t="n">
        <v>200</v>
      </c>
      <c r="D17" s="38" t="n">
        <v>200</v>
      </c>
      <c r="E17" s="38" t="n">
        <v>200</v>
      </c>
      <c r="F17" s="38" t="n">
        <v>200</v>
      </c>
      <c r="G17" s="35" t="s">
        <v>123</v>
      </c>
      <c r="H17" s="35" t="s">
        <v>163</v>
      </c>
      <c r="I17" s="35" t="s">
        <v>140</v>
      </c>
      <c r="J17" s="35" t="s">
        <v>164</v>
      </c>
      <c r="K17" s="35" t="s">
        <v>158</v>
      </c>
    </row>
    <row r="18" customFormat="false" ht="15" hidden="false" customHeight="false" outlineLevel="0" collapsed="false">
      <c r="A18" s="6" t="s">
        <v>165</v>
      </c>
      <c r="B18" s="36" t="n">
        <v>0.26</v>
      </c>
      <c r="C18" s="36" t="n">
        <v>0.26</v>
      </c>
      <c r="D18" s="36" t="n">
        <v>0.26</v>
      </c>
      <c r="E18" s="36" t="n">
        <v>0.26</v>
      </c>
      <c r="F18" s="36" t="n">
        <v>0.26</v>
      </c>
      <c r="G18" s="35" t="s">
        <v>123</v>
      </c>
      <c r="H18" s="35" t="s">
        <v>166</v>
      </c>
      <c r="I18" s="35" t="s">
        <v>140</v>
      </c>
      <c r="J18" s="35" t="s">
        <v>167</v>
      </c>
      <c r="K18" s="35" t="s">
        <v>168</v>
      </c>
    </row>
    <row r="19" customFormat="false" ht="15" hidden="false" customHeight="false" outlineLevel="0" collapsed="false">
      <c r="A19" s="6" t="s">
        <v>169</v>
      </c>
      <c r="B19" s="38" t="n">
        <v>100</v>
      </c>
      <c r="C19" s="38" t="n">
        <v>100</v>
      </c>
      <c r="D19" s="38" t="n">
        <v>100</v>
      </c>
      <c r="E19" s="38" t="n">
        <v>100</v>
      </c>
      <c r="F19" s="38" t="n">
        <v>100</v>
      </c>
      <c r="G19" s="35" t="s">
        <v>123</v>
      </c>
      <c r="H19" s="35" t="s">
        <v>170</v>
      </c>
      <c r="I19" s="35" t="s">
        <v>140</v>
      </c>
      <c r="J19" s="35" t="s">
        <v>171</v>
      </c>
      <c r="K19" s="35" t="s">
        <v>158</v>
      </c>
    </row>
    <row r="20" customFormat="false" ht="15" hidden="false" customHeight="false" outlineLevel="0" collapsed="false">
      <c r="A20" s="4" t="s">
        <v>172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5" hidden="false" customHeight="false" outlineLevel="0" collapsed="false">
      <c r="A21" s="6" t="s">
        <v>173</v>
      </c>
      <c r="B21" s="39" t="n">
        <v>60</v>
      </c>
      <c r="C21" s="39" t="n">
        <v>60</v>
      </c>
      <c r="D21" s="39" t="n">
        <v>60</v>
      </c>
      <c r="E21" s="39" t="n">
        <v>60</v>
      </c>
      <c r="F21" s="39" t="n">
        <v>60</v>
      </c>
      <c r="G21" s="35" t="s">
        <v>123</v>
      </c>
      <c r="H21" s="35" t="s">
        <v>174</v>
      </c>
      <c r="I21" s="35" t="s">
        <v>140</v>
      </c>
      <c r="J21" s="35" t="s">
        <v>175</v>
      </c>
      <c r="K21" s="35" t="s">
        <v>176</v>
      </c>
    </row>
    <row r="22" customFormat="false" ht="15" hidden="false" customHeight="false" outlineLevel="0" collapsed="false">
      <c r="A22" s="6" t="s">
        <v>177</v>
      </c>
      <c r="B22" s="39" t="n">
        <v>46</v>
      </c>
      <c r="C22" s="39" t="n">
        <v>46</v>
      </c>
      <c r="D22" s="39" t="n">
        <v>46</v>
      </c>
      <c r="E22" s="39" t="n">
        <v>46</v>
      </c>
      <c r="F22" s="39" t="n">
        <v>46</v>
      </c>
      <c r="G22" s="35" t="s">
        <v>123</v>
      </c>
      <c r="H22" s="35" t="s">
        <v>178</v>
      </c>
      <c r="I22" s="35" t="s">
        <v>140</v>
      </c>
      <c r="J22" s="35" t="s">
        <v>179</v>
      </c>
      <c r="K22" s="35" t="s">
        <v>176</v>
      </c>
    </row>
    <row r="23" customFormat="false" ht="15" hidden="false" customHeight="false" outlineLevel="0" collapsed="false">
      <c r="A23" s="6" t="s">
        <v>180</v>
      </c>
      <c r="B23" s="39" t="n">
        <v>40</v>
      </c>
      <c r="C23" s="39" t="n">
        <v>40</v>
      </c>
      <c r="D23" s="39" t="n">
        <v>40</v>
      </c>
      <c r="E23" s="39" t="n">
        <v>40</v>
      </c>
      <c r="F23" s="39" t="n">
        <v>40</v>
      </c>
      <c r="G23" s="35" t="s">
        <v>123</v>
      </c>
      <c r="H23" s="35" t="s">
        <v>181</v>
      </c>
      <c r="I23" s="35" t="s">
        <v>140</v>
      </c>
      <c r="J23" s="35" t="s">
        <v>182</v>
      </c>
      <c r="K23" s="35" t="s">
        <v>176</v>
      </c>
    </row>
    <row r="24" customFormat="false" ht="15" hidden="false" customHeight="false" outlineLevel="0" collapsed="false">
      <c r="A24" s="6" t="s">
        <v>65</v>
      </c>
      <c r="B24" s="34" t="n">
        <v>0.045</v>
      </c>
      <c r="C24" s="34" t="n">
        <v>0.04</v>
      </c>
      <c r="D24" s="34" t="n">
        <v>0.04</v>
      </c>
      <c r="E24" s="34" t="n">
        <v>0.038</v>
      </c>
      <c r="F24" s="34" t="n">
        <v>0.038</v>
      </c>
      <c r="G24" s="35" t="s">
        <v>123</v>
      </c>
      <c r="H24" s="35" t="s">
        <v>183</v>
      </c>
      <c r="I24" s="35" t="s">
        <v>140</v>
      </c>
      <c r="J24" s="35" t="s">
        <v>184</v>
      </c>
      <c r="K24" s="35" t="s">
        <v>185</v>
      </c>
    </row>
    <row r="26" customFormat="false" ht="15" hidden="false" customHeight="false" outlineLevel="0" collapsed="false">
      <c r="A26" s="4" t="s">
        <v>186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5" hidden="false" customHeight="false" outlineLevel="0" collapsed="false">
      <c r="A27" s="6" t="s">
        <v>187</v>
      </c>
      <c r="B27" s="34" t="n">
        <v>0.071</v>
      </c>
      <c r="G27" s="35" t="s">
        <v>188</v>
      </c>
      <c r="H27" s="35" t="s">
        <v>140</v>
      </c>
      <c r="I27" s="35" t="s">
        <v>140</v>
      </c>
      <c r="J27" s="35" t="s">
        <v>189</v>
      </c>
      <c r="K27" s="35" t="s">
        <v>190</v>
      </c>
    </row>
    <row r="28" customFormat="false" ht="15" hidden="false" customHeight="false" outlineLevel="0" collapsed="false">
      <c r="A28" s="6" t="s">
        <v>191</v>
      </c>
      <c r="B28" s="40" t="n">
        <v>0.7</v>
      </c>
      <c r="G28" s="35" t="s">
        <v>123</v>
      </c>
      <c r="H28" s="35" t="s">
        <v>140</v>
      </c>
      <c r="I28" s="35" t="s">
        <v>140</v>
      </c>
      <c r="J28" s="35" t="s">
        <v>192</v>
      </c>
      <c r="K28" s="35" t="s">
        <v>193</v>
      </c>
    </row>
    <row r="29" customFormat="false" ht="15" hidden="false" customHeight="false" outlineLevel="0" collapsed="false">
      <c r="A29" s="6" t="s">
        <v>194</v>
      </c>
      <c r="B29" s="34" t="n">
        <v>0.055</v>
      </c>
      <c r="G29" s="35" t="s">
        <v>123</v>
      </c>
      <c r="H29" s="35" t="s">
        <v>140</v>
      </c>
      <c r="I29" s="35" t="s">
        <v>140</v>
      </c>
      <c r="J29" s="35" t="s">
        <v>195</v>
      </c>
      <c r="K29" s="35" t="s">
        <v>190</v>
      </c>
    </row>
    <row r="30" customFormat="false" ht="15" hidden="false" customHeight="false" outlineLevel="0" collapsed="false">
      <c r="A30" s="6" t="s">
        <v>196</v>
      </c>
      <c r="B30" s="36" t="n">
        <v>0.075</v>
      </c>
      <c r="G30" s="35" t="s">
        <v>123</v>
      </c>
      <c r="H30" s="35" t="s">
        <v>140</v>
      </c>
      <c r="I30" s="35" t="s">
        <v>140</v>
      </c>
      <c r="J30" s="35" t="s">
        <v>197</v>
      </c>
      <c r="K30" s="35" t="s">
        <v>198</v>
      </c>
    </row>
    <row r="31" customFormat="false" ht="15" hidden="false" customHeight="false" outlineLevel="0" collapsed="false">
      <c r="A31" s="6" t="s">
        <v>71</v>
      </c>
      <c r="B31" s="34" t="n">
        <v>0.06</v>
      </c>
      <c r="G31" s="35" t="s">
        <v>123</v>
      </c>
      <c r="H31" s="35" t="s">
        <v>140</v>
      </c>
      <c r="I31" s="35" t="s">
        <v>140</v>
      </c>
      <c r="J31" s="35" t="s">
        <v>199</v>
      </c>
      <c r="K31" s="35" t="s">
        <v>190</v>
      </c>
    </row>
    <row r="32" customFormat="false" ht="15" hidden="false" customHeight="false" outlineLevel="0" collapsed="false">
      <c r="A32" s="6" t="s">
        <v>73</v>
      </c>
      <c r="B32" s="41" t="n">
        <v>45</v>
      </c>
      <c r="G32" s="35" t="s">
        <v>123</v>
      </c>
      <c r="H32" s="35" t="s">
        <v>200</v>
      </c>
      <c r="I32" s="35" t="s">
        <v>140</v>
      </c>
      <c r="J32" s="35" t="s">
        <v>201</v>
      </c>
      <c r="K32" s="35" t="s">
        <v>202</v>
      </c>
    </row>
    <row r="33" customFormat="false" ht="15" hidden="false" customHeight="false" outlineLevel="0" collapsed="false">
      <c r="A33" s="6" t="s">
        <v>203</v>
      </c>
      <c r="B33" s="42" t="n">
        <v>2454</v>
      </c>
      <c r="G33" s="35" t="s">
        <v>188</v>
      </c>
      <c r="H33" s="35" t="s">
        <v>140</v>
      </c>
      <c r="I33" s="35" t="s">
        <v>140</v>
      </c>
      <c r="J33" s="35" t="s">
        <v>204</v>
      </c>
      <c r="K33" s="35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33" t="s">
        <v>205</v>
      </c>
    </row>
    <row r="2" customFormat="false" ht="15" hidden="false" customHeight="false" outlineLevel="0" collapsed="false">
      <c r="A2" s="3" t="s">
        <v>206</v>
      </c>
    </row>
    <row r="3" customFormat="false" ht="15" hidden="false" customHeight="false" outlineLevel="0" collapsed="false">
      <c r="B3" s="43" t="s">
        <v>207</v>
      </c>
      <c r="C3" s="43"/>
      <c r="D3" s="43"/>
      <c r="E3" s="43"/>
    </row>
    <row r="4" customFormat="false" ht="30" hidden="false" customHeight="true" outlineLevel="0" collapsed="false">
      <c r="A4" s="14" t="s">
        <v>208</v>
      </c>
      <c r="B4" s="15" t="s">
        <v>209</v>
      </c>
      <c r="C4" s="15" t="s">
        <v>210</v>
      </c>
      <c r="D4" s="15" t="s">
        <v>211</v>
      </c>
      <c r="E4" s="15" t="s">
        <v>45</v>
      </c>
      <c r="F4" s="15" t="s">
        <v>212</v>
      </c>
      <c r="G4" s="15" t="s">
        <v>213</v>
      </c>
      <c r="H4" s="15" t="s">
        <v>214</v>
      </c>
      <c r="I4" s="15" t="s">
        <v>215</v>
      </c>
    </row>
    <row r="5" customFormat="false" ht="15" hidden="false" customHeight="false" outlineLevel="0" collapsed="false">
      <c r="A5" s="4" t="s">
        <v>216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6" t="s">
        <v>217</v>
      </c>
      <c r="B6" s="38" t="n">
        <v>34488.59</v>
      </c>
      <c r="C6" s="38" t="n">
        <v>35494.73</v>
      </c>
      <c r="D6" s="38" t="n">
        <v>33905.62</v>
      </c>
      <c r="E6" s="38" t="n">
        <v>35583.54</v>
      </c>
      <c r="F6" s="35" t="s">
        <v>218</v>
      </c>
      <c r="G6" s="35" t="s">
        <v>219</v>
      </c>
      <c r="H6" s="35" t="s">
        <v>220</v>
      </c>
      <c r="I6" s="35" t="s">
        <v>221</v>
      </c>
    </row>
    <row r="7" customFormat="false" ht="15" hidden="false" customHeight="false" outlineLevel="0" collapsed="false">
      <c r="A7" s="6" t="s">
        <v>222</v>
      </c>
      <c r="B7" s="38" t="n">
        <v>17330.58</v>
      </c>
      <c r="C7" s="38" t="n">
        <v>15868.21</v>
      </c>
      <c r="D7" s="38" t="n">
        <v>15793.92</v>
      </c>
      <c r="E7" s="38" t="n">
        <v>15384.05</v>
      </c>
      <c r="F7" s="35" t="s">
        <v>218</v>
      </c>
      <c r="G7" s="35" t="s">
        <v>219</v>
      </c>
      <c r="H7" s="35" t="s">
        <v>223</v>
      </c>
      <c r="I7" s="35" t="s">
        <v>224</v>
      </c>
    </row>
    <row r="8" customFormat="false" ht="15" hidden="false" customHeight="false" outlineLevel="0" collapsed="false">
      <c r="A8" s="6" t="s">
        <v>225</v>
      </c>
      <c r="B8" s="38" t="n">
        <v>4135.65</v>
      </c>
      <c r="C8" s="38" t="n">
        <v>3858.2</v>
      </c>
      <c r="D8" s="38" t="n">
        <v>3926.86</v>
      </c>
      <c r="E8" s="38" t="n">
        <v>4014.05</v>
      </c>
      <c r="F8" s="35" t="s">
        <v>218</v>
      </c>
      <c r="G8" s="35" t="s">
        <v>219</v>
      </c>
      <c r="H8" s="35" t="s">
        <v>223</v>
      </c>
    </row>
    <row r="9" customFormat="false" ht="15" hidden="false" customHeight="false" outlineLevel="0" collapsed="false">
      <c r="A9" s="6" t="s">
        <v>226</v>
      </c>
      <c r="B9" s="38" t="n">
        <v>-309.73</v>
      </c>
      <c r="C9" s="38" t="n">
        <v>363.8</v>
      </c>
      <c r="D9" s="38" t="n">
        <v>-205</v>
      </c>
      <c r="E9" s="38" t="n">
        <v>603.68</v>
      </c>
      <c r="F9" s="35" t="s">
        <v>218</v>
      </c>
      <c r="G9" s="35" t="s">
        <v>219</v>
      </c>
      <c r="H9" s="35" t="s">
        <v>223</v>
      </c>
    </row>
    <row r="10" customFormat="false" ht="15" hidden="false" customHeight="false" outlineLevel="0" collapsed="false">
      <c r="A10" s="6" t="s">
        <v>227</v>
      </c>
      <c r="B10" s="44" t="n">
        <f aca="false">SUM(B7:B9)</f>
        <v>21156.5</v>
      </c>
      <c r="C10" s="44" t="n">
        <f aca="false">SUM(C7:C9)</f>
        <v>20090.21</v>
      </c>
      <c r="D10" s="44" t="n">
        <f aca="false">SUM(D7:D9)</f>
        <v>19515.78</v>
      </c>
      <c r="E10" s="44" t="n">
        <f aca="false">SUM(E7:E9)</f>
        <v>20001.78</v>
      </c>
      <c r="F10" s="35" t="s">
        <v>228</v>
      </c>
      <c r="G10" s="35" t="s">
        <v>229</v>
      </c>
      <c r="H10" s="35" t="s">
        <v>220</v>
      </c>
      <c r="I10" s="35" t="s">
        <v>230</v>
      </c>
    </row>
    <row r="11" customFormat="false" ht="15" hidden="false" customHeight="false" outlineLevel="0" collapsed="false">
      <c r="A11" s="26" t="s">
        <v>231</v>
      </c>
      <c r="B11" s="45" t="n">
        <f aca="false">B6-B10</f>
        <v>13332.09</v>
      </c>
      <c r="C11" s="45" t="n">
        <f aca="false">C6-C10</f>
        <v>15404.52</v>
      </c>
      <c r="D11" s="45" t="n">
        <f aca="false">D6-D10</f>
        <v>14389.84</v>
      </c>
      <c r="E11" s="45" t="n">
        <f aca="false">E6-E10</f>
        <v>15581.76</v>
      </c>
    </row>
    <row r="12" customFormat="false" ht="15" hidden="false" customHeight="false" outlineLevel="0" collapsed="false">
      <c r="A12" s="6" t="s">
        <v>232</v>
      </c>
      <c r="B12" s="38" t="n">
        <v>2028.07</v>
      </c>
      <c r="C12" s="38" t="n">
        <v>2326.18</v>
      </c>
      <c r="D12" s="38" t="n">
        <v>2597.23</v>
      </c>
      <c r="E12" s="38" t="n">
        <v>2799.59</v>
      </c>
      <c r="F12" s="35" t="s">
        <v>218</v>
      </c>
      <c r="G12" s="35" t="s">
        <v>219</v>
      </c>
      <c r="H12" s="35" t="s">
        <v>223</v>
      </c>
      <c r="I12" s="35" t="s">
        <v>233</v>
      </c>
    </row>
    <row r="13" customFormat="false" ht="15" hidden="false" customHeight="false" outlineLevel="0" collapsed="false">
      <c r="A13" s="6" t="s">
        <v>234</v>
      </c>
      <c r="B13" s="38" t="n">
        <v>5044.18</v>
      </c>
      <c r="C13" s="38" t="n">
        <v>5493.36</v>
      </c>
      <c r="D13" s="38" t="n">
        <v>5786.4</v>
      </c>
      <c r="E13" s="38" t="n">
        <v>6086.25</v>
      </c>
      <c r="F13" s="35" t="s">
        <v>218</v>
      </c>
      <c r="G13" s="35" t="s">
        <v>219</v>
      </c>
      <c r="H13" s="35" t="s">
        <v>223</v>
      </c>
      <c r="I13" s="35" t="s">
        <v>235</v>
      </c>
    </row>
    <row r="14" customFormat="false" ht="15" hidden="false" customHeight="false" outlineLevel="0" collapsed="false">
      <c r="A14" s="26" t="s">
        <v>236</v>
      </c>
      <c r="B14" s="45" t="n">
        <f aca="false">B11-B12-B13</f>
        <v>6259.84</v>
      </c>
      <c r="C14" s="45" t="n">
        <f aca="false">C11-C12-C13</f>
        <v>7584.98</v>
      </c>
      <c r="D14" s="45" t="n">
        <f aca="false">D11-D12-D13</f>
        <v>6006.21000000001</v>
      </c>
      <c r="E14" s="45" t="n">
        <f aca="false">E11-E12-E13</f>
        <v>6695.92</v>
      </c>
      <c r="I14" s="35" t="s">
        <v>237</v>
      </c>
    </row>
    <row r="15" customFormat="false" ht="15" hidden="false" customHeight="false" outlineLevel="0" collapsed="false">
      <c r="A15" s="6" t="s">
        <v>238</v>
      </c>
      <c r="B15" s="38" t="n">
        <v>386.48</v>
      </c>
      <c r="C15" s="38" t="n">
        <v>687.96</v>
      </c>
      <c r="D15" s="38" t="n">
        <v>572.61</v>
      </c>
      <c r="E15" s="38" t="n">
        <v>723.8</v>
      </c>
      <c r="F15" s="35" t="s">
        <v>218</v>
      </c>
      <c r="G15" s="35" t="s">
        <v>219</v>
      </c>
      <c r="H15" s="35" t="s">
        <v>223</v>
      </c>
    </row>
    <row r="16" customFormat="false" ht="15" hidden="false" customHeight="false" outlineLevel="0" collapsed="false">
      <c r="A16" s="6" t="s">
        <v>239</v>
      </c>
      <c r="B16" s="38" t="n">
        <v>144.45</v>
      </c>
      <c r="C16" s="38" t="n">
        <v>205.17</v>
      </c>
      <c r="D16" s="38" t="n">
        <v>227.02</v>
      </c>
      <c r="E16" s="38" t="n">
        <v>195.41</v>
      </c>
      <c r="F16" s="35" t="s">
        <v>218</v>
      </c>
      <c r="G16" s="35" t="s">
        <v>219</v>
      </c>
      <c r="H16" s="35" t="s">
        <v>220</v>
      </c>
    </row>
    <row r="17" customFormat="false" ht="15" hidden="false" customHeight="false" outlineLevel="0" collapsed="false">
      <c r="A17" s="6" t="s">
        <v>240</v>
      </c>
      <c r="B17" s="38" t="n">
        <v>858.02</v>
      </c>
      <c r="C17" s="38" t="n">
        <v>853</v>
      </c>
      <c r="D17" s="38" t="n">
        <v>1026.34</v>
      </c>
      <c r="E17" s="38" t="n">
        <v>1228.85</v>
      </c>
      <c r="F17" s="35" t="s">
        <v>218</v>
      </c>
      <c r="G17" s="35" t="s">
        <v>219</v>
      </c>
      <c r="H17" s="35" t="s">
        <v>220</v>
      </c>
    </row>
    <row r="18" customFormat="false" ht="15" hidden="false" customHeight="false" outlineLevel="0" collapsed="false">
      <c r="A18" s="6" t="s">
        <v>241</v>
      </c>
      <c r="B18" s="38" t="n">
        <v>-48.87</v>
      </c>
      <c r="C18" s="38" t="n">
        <v>0</v>
      </c>
      <c r="D18" s="38" t="n">
        <v>-363.1</v>
      </c>
      <c r="E18" s="38" t="n">
        <v>-157.61</v>
      </c>
      <c r="F18" s="35" t="s">
        <v>218</v>
      </c>
      <c r="G18" s="35" t="s">
        <v>219</v>
      </c>
      <c r="H18" s="35" t="s">
        <v>220</v>
      </c>
      <c r="I18" s="35" t="s">
        <v>242</v>
      </c>
    </row>
    <row r="19" customFormat="false" ht="15" hidden="false" customHeight="false" outlineLevel="0" collapsed="false">
      <c r="A19" s="26" t="s">
        <v>243</v>
      </c>
      <c r="B19" s="45" t="n">
        <f aca="false">B14+B15-B16-B17+B18</f>
        <v>5594.98</v>
      </c>
      <c r="C19" s="45" t="n">
        <f aca="false">C14+C15-C16-C17+C18</f>
        <v>7214.77</v>
      </c>
      <c r="D19" s="45" t="n">
        <f aca="false">D14+D15-D16-D17+D18</f>
        <v>4962.36</v>
      </c>
      <c r="E19" s="45" t="n">
        <f aca="false">E14+E15-E16-E17+E18</f>
        <v>5837.85</v>
      </c>
      <c r="I19" s="35" t="s">
        <v>244</v>
      </c>
    </row>
    <row r="20" customFormat="false" ht="15" hidden="false" customHeight="false" outlineLevel="0" collapsed="false">
      <c r="A20" s="6" t="s">
        <v>245</v>
      </c>
      <c r="B20" s="38" t="n">
        <v>1493.5</v>
      </c>
      <c r="C20" s="38" t="n">
        <v>1790.08</v>
      </c>
      <c r="D20" s="38" t="n">
        <v>1393.36</v>
      </c>
      <c r="E20" s="38" t="n">
        <v>1608.75</v>
      </c>
      <c r="F20" s="35" t="s">
        <v>218</v>
      </c>
      <c r="G20" s="35" t="s">
        <v>219</v>
      </c>
      <c r="H20" s="35" t="s">
        <v>223</v>
      </c>
    </row>
    <row r="21" customFormat="false" ht="15" hidden="false" customHeight="false" outlineLevel="0" collapsed="false">
      <c r="A21" s="6" t="s">
        <v>246</v>
      </c>
      <c r="B21" s="44" t="n">
        <f aca="false">B19-B20</f>
        <v>4101.48</v>
      </c>
      <c r="C21" s="44" t="n">
        <f aca="false">C19-C20</f>
        <v>5424.69</v>
      </c>
      <c r="D21" s="44" t="n">
        <f aca="false">D19-D20</f>
        <v>3569</v>
      </c>
      <c r="E21" s="44" t="n">
        <f aca="false">E19-E20</f>
        <v>4229.1</v>
      </c>
    </row>
    <row r="22" customFormat="false" ht="15" hidden="false" customHeight="false" outlineLevel="0" collapsed="false">
      <c r="A22" s="6" t="s">
        <v>247</v>
      </c>
      <c r="B22" s="38" t="n">
        <v>93.85</v>
      </c>
      <c r="C22" s="38" t="n">
        <v>133</v>
      </c>
      <c r="D22" s="38" t="n">
        <v>140.71</v>
      </c>
      <c r="E22" s="38" t="n">
        <v>165.59</v>
      </c>
      <c r="F22" s="35" t="s">
        <v>218</v>
      </c>
      <c r="G22" s="35" t="s">
        <v>219</v>
      </c>
      <c r="H22" s="35" t="s">
        <v>223</v>
      </c>
      <c r="I22" s="35" t="s">
        <v>248</v>
      </c>
    </row>
    <row r="23" customFormat="false" ht="15" hidden="false" customHeight="false" outlineLevel="0" collapsed="false">
      <c r="A23" s="6" t="s">
        <v>249</v>
      </c>
      <c r="B23" s="38" t="n">
        <v>-88.88</v>
      </c>
      <c r="C23" s="38" t="n">
        <v>-97.46</v>
      </c>
      <c r="D23" s="38" t="n">
        <v>-42.48</v>
      </c>
      <c r="E23" s="38" t="n">
        <v>-69.34</v>
      </c>
      <c r="F23" s="35" t="s">
        <v>218</v>
      </c>
      <c r="G23" s="35" t="s">
        <v>219</v>
      </c>
      <c r="H23" s="35" t="s">
        <v>223</v>
      </c>
    </row>
    <row r="24" customFormat="false" ht="15" hidden="false" customHeight="false" outlineLevel="0" collapsed="false">
      <c r="A24" s="26" t="s">
        <v>250</v>
      </c>
      <c r="B24" s="45" t="n">
        <f aca="false">B21+B22+B23</f>
        <v>4106.45</v>
      </c>
      <c r="C24" s="45" t="n">
        <f aca="false">C21+C22+C23</f>
        <v>5460.23</v>
      </c>
      <c r="D24" s="45" t="n">
        <f aca="false">D21+D22+D23</f>
        <v>3667.23</v>
      </c>
      <c r="E24" s="45" t="n">
        <f aca="false">E21+E22+E23</f>
        <v>4325.35</v>
      </c>
      <c r="F24" s="35" t="s">
        <v>228</v>
      </c>
      <c r="G24" s="35" t="s">
        <v>229</v>
      </c>
      <c r="H24" s="35" t="s">
        <v>220</v>
      </c>
      <c r="I24" s="35" t="s">
        <v>251</v>
      </c>
    </row>
    <row r="25" customFormat="false" ht="15" hidden="false" customHeight="false" outlineLevel="0" collapsed="false">
      <c r="A25" s="6" t="s">
        <v>252</v>
      </c>
      <c r="B25" s="46" t="n">
        <v>95.92</v>
      </c>
      <c r="C25" s="46" t="n">
        <v>95.92</v>
      </c>
      <c r="D25" s="46" t="n">
        <v>95.92</v>
      </c>
      <c r="E25" s="46" t="n">
        <v>95.92</v>
      </c>
      <c r="F25" s="35" t="s">
        <v>253</v>
      </c>
      <c r="G25" s="35" t="s">
        <v>254</v>
      </c>
      <c r="H25" s="35" t="s">
        <v>255</v>
      </c>
      <c r="I25" s="35" t="s">
        <v>256</v>
      </c>
    </row>
    <row r="26" customFormat="false" ht="15" hidden="false" customHeight="false" outlineLevel="0" collapsed="false">
      <c r="A26" s="26" t="s">
        <v>257</v>
      </c>
      <c r="B26" s="47" t="n">
        <f aca="false">B24/B25</f>
        <v>42.8111968306922</v>
      </c>
      <c r="C26" s="47" t="n">
        <f aca="false">C24/C25</f>
        <v>56.9248331943287</v>
      </c>
      <c r="D26" s="47" t="n">
        <f aca="false">D24/D25</f>
        <v>38.2321726438699</v>
      </c>
      <c r="E26" s="47" t="n">
        <f aca="false">E24/E25</f>
        <v>45.0933069224354</v>
      </c>
    </row>
    <row r="27" customFormat="false" ht="15" hidden="false" customHeight="false" outlineLevel="0" collapsed="false">
      <c r="A27" s="6" t="s">
        <v>258</v>
      </c>
      <c r="B27" s="48" t="n">
        <v>42.8</v>
      </c>
      <c r="C27" s="48" t="n">
        <v>56.95</v>
      </c>
      <c r="D27" s="48" t="n">
        <v>38.25</v>
      </c>
      <c r="E27" s="48" t="n">
        <v>45.12</v>
      </c>
      <c r="F27" s="35" t="s">
        <v>218</v>
      </c>
      <c r="G27" s="35" t="s">
        <v>259</v>
      </c>
      <c r="H27" s="35" t="s">
        <v>255</v>
      </c>
      <c r="I27" s="35" t="s">
        <v>260</v>
      </c>
    </row>
    <row r="29" customFormat="false" ht="15" hidden="false" customHeight="false" outlineLevel="0" collapsed="false">
      <c r="A29" s="4" t="s">
        <v>261</v>
      </c>
      <c r="B29" s="5"/>
      <c r="C29" s="5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A30" s="6" t="s">
        <v>262</v>
      </c>
      <c r="C30" s="49" t="n">
        <f aca="false">C6/B6-1</f>
        <v>0.0291731265325723</v>
      </c>
      <c r="D30" s="49" t="n">
        <f aca="false">D6/C6-1</f>
        <v>-0.0447703081556051</v>
      </c>
      <c r="E30" s="49" t="n">
        <f aca="false">E6/D6-1</f>
        <v>0.0494879609928973</v>
      </c>
    </row>
    <row r="31" customFormat="false" ht="15" hidden="false" customHeight="false" outlineLevel="0" collapsed="false">
      <c r="A31" s="26" t="s">
        <v>263</v>
      </c>
      <c r="B31" s="50" t="n">
        <f aca="false">B11/B6</f>
        <v>0.38656523795261</v>
      </c>
      <c r="C31" s="50" t="n">
        <f aca="false">C11/C6</f>
        <v>0.433994567644267</v>
      </c>
      <c r="D31" s="50" t="n">
        <f aca="false">D11/D6</f>
        <v>0.424408696847307</v>
      </c>
      <c r="E31" s="50" t="n">
        <f aca="false">E11/E6</f>
        <v>0.437892351351215</v>
      </c>
    </row>
    <row r="32" customFormat="false" ht="15" hidden="false" customHeight="false" outlineLevel="0" collapsed="false">
      <c r="A32" s="26" t="s">
        <v>264</v>
      </c>
      <c r="B32" s="50" t="n">
        <f aca="false">B14/B6</f>
        <v>0.181504665745976</v>
      </c>
      <c r="C32" s="50" t="n">
        <f aca="false">C14/C6</f>
        <v>0.213693131346541</v>
      </c>
      <c r="D32" s="50" t="n">
        <f aca="false">D14/D6</f>
        <v>0.177144968887164</v>
      </c>
      <c r="E32" s="50" t="n">
        <f aca="false">E14/E6</f>
        <v>0.188174644793632</v>
      </c>
    </row>
    <row r="33" customFormat="false" ht="15" hidden="false" customHeight="false" outlineLevel="0" collapsed="false">
      <c r="A33" s="6" t="s">
        <v>265</v>
      </c>
      <c r="B33" s="49" t="n">
        <f aca="false">B24/B6</f>
        <v>0.119066914594073</v>
      </c>
      <c r="C33" s="49" t="n">
        <f aca="false">C24/C6</f>
        <v>0.153832132263015</v>
      </c>
      <c r="D33" s="49" t="n">
        <f aca="false">D24/D6</f>
        <v>0.108159945165433</v>
      </c>
      <c r="E33" s="49" t="n">
        <f aca="false">E24/E6</f>
        <v>0.121554797527171</v>
      </c>
    </row>
    <row r="34" customFormat="false" ht="15" hidden="false" customHeight="false" outlineLevel="0" collapsed="false">
      <c r="A34" s="6" t="s">
        <v>165</v>
      </c>
      <c r="B34" s="49" t="n">
        <f aca="false">B20/B19</f>
        <v>0.266935717375219</v>
      </c>
      <c r="C34" s="49" t="n">
        <f aca="false">C20/C19</f>
        <v>0.248113245467284</v>
      </c>
      <c r="D34" s="49" t="n">
        <f aca="false">D20/D19</f>
        <v>0.280785755164881</v>
      </c>
      <c r="E34" s="49" t="n">
        <f aca="false">E20/E19</f>
        <v>0.27557234255762</v>
      </c>
    </row>
    <row r="35" customFormat="false" ht="15" hidden="false" customHeight="false" outlineLevel="0" collapsed="false">
      <c r="A35" s="6" t="s">
        <v>59</v>
      </c>
      <c r="B35" s="49" t="n">
        <f aca="false">B12/B6</f>
        <v>0.0588040856410772</v>
      </c>
      <c r="C35" s="49" t="n">
        <f aca="false">C12/C6</f>
        <v>0.0655359260374709</v>
      </c>
      <c r="D35" s="49" t="n">
        <f aca="false">D12/D6</f>
        <v>0.0766017551072654</v>
      </c>
      <c r="E35" s="49" t="n">
        <f aca="false">E12/E6</f>
        <v>0.0786765453914928</v>
      </c>
    </row>
    <row r="36" customFormat="false" ht="15" hidden="false" customHeight="false" outlineLevel="0" collapsed="false">
      <c r="A36" s="6" t="s">
        <v>61</v>
      </c>
      <c r="B36" s="49" t="n">
        <f aca="false">B13/B6</f>
        <v>0.146256486565557</v>
      </c>
      <c r="C36" s="49" t="n">
        <f aca="false">C13/C6</f>
        <v>0.154765510260256</v>
      </c>
      <c r="D36" s="49" t="n">
        <f aca="false">D13/D6</f>
        <v>0.170661972852878</v>
      </c>
      <c r="E36" s="49" t="n">
        <f aca="false">E13/E6</f>
        <v>0.17104116116609</v>
      </c>
    </row>
    <row r="37" customFormat="false" ht="15" hidden="false" customHeight="false" outlineLevel="0" collapsed="false">
      <c r="A37" s="6" t="s">
        <v>266</v>
      </c>
      <c r="C37" s="49" t="n">
        <f aca="false">C24/B24-1</f>
        <v>0.329671614167957</v>
      </c>
      <c r="D37" s="49" t="n">
        <f aca="false">D24/C24-1</f>
        <v>-0.328374445765105</v>
      </c>
      <c r="E37" s="49" t="n">
        <f aca="false">E24/D24-1</f>
        <v>0.179459701191362</v>
      </c>
    </row>
    <row r="39" customFormat="false" ht="15" hidden="false" customHeight="false" outlineLevel="0" collapsed="false">
      <c r="A39" s="4" t="s">
        <v>267</v>
      </c>
      <c r="B39" s="5"/>
      <c r="C39" s="5"/>
      <c r="D39" s="5"/>
      <c r="E39" s="5"/>
      <c r="F39" s="5"/>
      <c r="G39" s="5"/>
      <c r="H39" s="5"/>
      <c r="I39" s="5"/>
    </row>
    <row r="40" customFormat="false" ht="15" hidden="false" customHeight="false" outlineLevel="0" collapsed="false">
      <c r="A40" s="6" t="s">
        <v>268</v>
      </c>
      <c r="D40" s="37" t="n">
        <v>29545.3</v>
      </c>
      <c r="E40" s="37" t="n">
        <v>30830.4</v>
      </c>
      <c r="F40" s="35" t="s">
        <v>269</v>
      </c>
      <c r="G40" s="35" t="s">
        <v>270</v>
      </c>
      <c r="H40" s="35" t="s">
        <v>255</v>
      </c>
      <c r="I40" s="35" t="s">
        <v>271</v>
      </c>
    </row>
    <row r="41" customFormat="false" ht="15" hidden="false" customHeight="false" outlineLevel="0" collapsed="false">
      <c r="A41" s="6" t="s">
        <v>272</v>
      </c>
      <c r="D41" s="37" t="n">
        <v>3066.4</v>
      </c>
      <c r="E41" s="37" t="n">
        <v>3353.6</v>
      </c>
      <c r="F41" s="35" t="s">
        <v>269</v>
      </c>
      <c r="G41" s="35" t="s">
        <v>270</v>
      </c>
      <c r="H41" s="35" t="s">
        <v>255</v>
      </c>
      <c r="I41" s="35" t="s">
        <v>273</v>
      </c>
    </row>
    <row r="42" customFormat="false" ht="15" hidden="false" customHeight="false" outlineLevel="0" collapsed="false">
      <c r="A42" s="6" t="s">
        <v>274</v>
      </c>
      <c r="D42" s="37" t="n">
        <v>1185.7</v>
      </c>
      <c r="E42" s="37" t="n">
        <v>1332.4</v>
      </c>
      <c r="F42" s="35" t="s">
        <v>269</v>
      </c>
      <c r="G42" s="35" t="s">
        <v>270</v>
      </c>
      <c r="H42" s="35" t="s">
        <v>255</v>
      </c>
      <c r="I42" s="35" t="s">
        <v>275</v>
      </c>
    </row>
    <row r="43" customFormat="false" ht="15" hidden="false" customHeight="false" outlineLevel="0" collapsed="false">
      <c r="A43" s="6" t="s">
        <v>276</v>
      </c>
      <c r="B43" s="37" t="n">
        <v>34367.8</v>
      </c>
      <c r="C43" s="37" t="n">
        <v>35382.1</v>
      </c>
      <c r="D43" s="37" t="n">
        <v>33797.4</v>
      </c>
      <c r="E43" s="37" t="n">
        <v>35516.4</v>
      </c>
      <c r="F43" s="35" t="s">
        <v>228</v>
      </c>
      <c r="G43" s="35" t="s">
        <v>229</v>
      </c>
      <c r="H43" s="35" t="s">
        <v>255</v>
      </c>
    </row>
    <row r="44" customFormat="false" ht="15" hidden="false" customHeight="false" outlineLevel="0" collapsed="false">
      <c r="A44" s="6" t="s">
        <v>277</v>
      </c>
      <c r="D44" s="51" t="n">
        <f aca="false">SUM(D40:D42)</f>
        <v>33797.4</v>
      </c>
      <c r="E44" s="51" t="n">
        <f aca="false">SUM(E40:E42)</f>
        <v>35516.4</v>
      </c>
    </row>
    <row r="45" customFormat="false" ht="15" hidden="false" customHeight="false" outlineLevel="0" collapsed="false">
      <c r="A45" s="6" t="s">
        <v>278</v>
      </c>
      <c r="B45" s="37" t="n">
        <v>120.8</v>
      </c>
      <c r="C45" s="37" t="n">
        <v>112.6</v>
      </c>
      <c r="D45" s="37" t="n">
        <v>108.3</v>
      </c>
      <c r="E45" s="37" t="n">
        <v>67.2</v>
      </c>
      <c r="F45" s="35" t="s">
        <v>228</v>
      </c>
      <c r="G45" s="35" t="s">
        <v>229</v>
      </c>
      <c r="H45" s="35" t="s">
        <v>255</v>
      </c>
      <c r="I45" s="35" t="s">
        <v>279</v>
      </c>
    </row>
    <row r="47" customFormat="false" ht="15" hidden="false" customHeight="false" outlineLevel="0" collapsed="false">
      <c r="A47" s="4" t="s">
        <v>280</v>
      </c>
      <c r="B47" s="5"/>
      <c r="C47" s="5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6" t="s">
        <v>281</v>
      </c>
      <c r="B48" s="37" t="n">
        <v>29953.1</v>
      </c>
      <c r="C48" s="37" t="n">
        <v>31093.8</v>
      </c>
      <c r="D48" s="37" t="n">
        <v>29421.1</v>
      </c>
      <c r="E48" s="37" t="n">
        <v>30680.2</v>
      </c>
      <c r="F48" s="35" t="s">
        <v>228</v>
      </c>
      <c r="G48" s="35" t="s">
        <v>229</v>
      </c>
      <c r="H48" s="35" t="s">
        <v>255</v>
      </c>
      <c r="I48" s="35" t="s">
        <v>282</v>
      </c>
    </row>
    <row r="49" customFormat="false" ht="15" hidden="false" customHeight="false" outlineLevel="0" collapsed="false">
      <c r="A49" s="6" t="s">
        <v>283</v>
      </c>
      <c r="C49" s="36" t="n">
        <v>0.1</v>
      </c>
      <c r="D49" s="36" t="n">
        <v>0.025</v>
      </c>
      <c r="E49" s="36" t="n">
        <v>0.09</v>
      </c>
      <c r="F49" s="35" t="s">
        <v>284</v>
      </c>
      <c r="G49" s="35" t="s">
        <v>285</v>
      </c>
      <c r="H49" s="35" t="s">
        <v>286</v>
      </c>
      <c r="I49" s="35" t="s">
        <v>287</v>
      </c>
    </row>
    <row r="50" customFormat="false" ht="15" hidden="false" customHeight="false" outlineLevel="0" collapsed="false">
      <c r="A50" s="6" t="s">
        <v>288</v>
      </c>
      <c r="C50" s="36" t="n">
        <v>0.039</v>
      </c>
      <c r="D50" s="36" t="n">
        <v>-0.057</v>
      </c>
      <c r="E50" s="36" t="n">
        <v>0.043</v>
      </c>
      <c r="F50" s="35" t="s">
        <v>289</v>
      </c>
      <c r="G50" s="35" t="s">
        <v>285</v>
      </c>
      <c r="H50" s="35" t="s">
        <v>286</v>
      </c>
    </row>
    <row r="51" customFormat="false" ht="15" hidden="false" customHeight="false" outlineLevel="0" collapsed="false">
      <c r="A51" s="26" t="s">
        <v>290</v>
      </c>
      <c r="C51" s="50" t="n">
        <f aca="false">(1+C50)/(1+C49)-1</f>
        <v>-0.0554545454545456</v>
      </c>
      <c r="D51" s="50" t="n">
        <f aca="false">(1+D50)/(1+D49)-1</f>
        <v>-0.08</v>
      </c>
      <c r="E51" s="50" t="n">
        <f aca="false">(1+E50)/(1+E49)-1</f>
        <v>-0.043119266055046</v>
      </c>
      <c r="I51" s="35" t="s">
        <v>291</v>
      </c>
    </row>
    <row r="52" customFormat="false" ht="15" hidden="false" customHeight="false" outlineLevel="0" collapsed="false">
      <c r="A52" s="6" t="s">
        <v>292</v>
      </c>
      <c r="B52" s="36" t="n">
        <v>0.384</v>
      </c>
      <c r="C52" s="36" t="n">
        <v>0.432</v>
      </c>
      <c r="D52" s="36" t="n">
        <v>0.423</v>
      </c>
      <c r="E52" s="36" t="n">
        <v>0.437</v>
      </c>
      <c r="F52" s="35" t="s">
        <v>228</v>
      </c>
      <c r="G52" s="35" t="s">
        <v>229</v>
      </c>
      <c r="H52" s="35" t="s">
        <v>255</v>
      </c>
      <c r="I52" s="35" t="s">
        <v>293</v>
      </c>
    </row>
    <row r="53" customFormat="false" ht="15" hidden="false" customHeight="false" outlineLevel="0" collapsed="false">
      <c r="A53" s="6" t="s">
        <v>294</v>
      </c>
      <c r="B53" s="36" t="n">
        <v>0.359</v>
      </c>
      <c r="C53" s="36" t="n">
        <v>0.397</v>
      </c>
      <c r="D53" s="36" t="n">
        <v>0.269</v>
      </c>
      <c r="E53" s="36" t="n">
        <v>0.276</v>
      </c>
      <c r="F53" s="35" t="s">
        <v>228</v>
      </c>
      <c r="G53" s="35" t="s">
        <v>229</v>
      </c>
      <c r="H53" s="35" t="s">
        <v>255</v>
      </c>
      <c r="I53" s="35" t="s">
        <v>295</v>
      </c>
    </row>
    <row r="54" customFormat="false" ht="15" hidden="false" customHeight="false" outlineLevel="0" collapsed="false">
      <c r="A54" s="6" t="s">
        <v>296</v>
      </c>
      <c r="B54" s="36" t="n">
        <v>0.274</v>
      </c>
      <c r="C54" s="36" t="n">
        <v>0.31</v>
      </c>
      <c r="D54" s="36" t="n">
        <v>0.188</v>
      </c>
      <c r="E54" s="36" t="n">
        <v>0.209</v>
      </c>
      <c r="F54" s="35" t="s">
        <v>228</v>
      </c>
      <c r="G54" s="35" t="s">
        <v>229</v>
      </c>
      <c r="H54" s="35" t="s">
        <v>255</v>
      </c>
    </row>
    <row r="55" customFormat="false" ht="15" hidden="false" customHeight="false" outlineLevel="0" collapsed="false">
      <c r="A55" s="6" t="s">
        <v>297</v>
      </c>
      <c r="B55" s="38" t="n">
        <v>264897</v>
      </c>
      <c r="C55" s="38" t="n">
        <v>273060</v>
      </c>
      <c r="D55" s="38" t="n">
        <v>224232</v>
      </c>
      <c r="E55" s="38" t="n">
        <v>207618</v>
      </c>
      <c r="F55" s="35" t="s">
        <v>228</v>
      </c>
      <c r="G55" s="35" t="s">
        <v>229</v>
      </c>
      <c r="H55" s="35" t="s">
        <v>255</v>
      </c>
      <c r="I55" s="35" t="s">
        <v>298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0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33" t="s">
        <v>299</v>
      </c>
    </row>
    <row r="2" customFormat="false" ht="15" hidden="false" customHeight="false" outlineLevel="0" collapsed="false">
      <c r="A2" s="3" t="s">
        <v>300</v>
      </c>
    </row>
    <row r="3" customFormat="false" ht="15" hidden="false" customHeight="false" outlineLevel="0" collapsed="false">
      <c r="B3" s="43" t="s">
        <v>301</v>
      </c>
      <c r="C3" s="43"/>
      <c r="D3" s="52" t="s">
        <v>302</v>
      </c>
      <c r="E3" s="52"/>
      <c r="F3" s="52"/>
      <c r="G3" s="52"/>
      <c r="H3" s="52"/>
    </row>
    <row r="4" customFormat="false" ht="15" hidden="false" customHeight="false" outlineLevel="0" collapsed="false">
      <c r="A4" s="14" t="s">
        <v>208</v>
      </c>
      <c r="B4" s="15" t="s">
        <v>211</v>
      </c>
      <c r="C4" s="15" t="s">
        <v>45</v>
      </c>
      <c r="D4" s="53" t="s">
        <v>46</v>
      </c>
      <c r="E4" s="27" t="s">
        <v>47</v>
      </c>
      <c r="F4" s="27" t="s">
        <v>108</v>
      </c>
      <c r="G4" s="27" t="s">
        <v>109</v>
      </c>
      <c r="H4" s="27" t="s">
        <v>110</v>
      </c>
      <c r="I4" s="15" t="s">
        <v>303</v>
      </c>
    </row>
    <row r="5" customFormat="false" ht="15" hidden="false" customHeight="false" outlineLevel="0" collapsed="false">
      <c r="A5" s="4" t="s">
        <v>304</v>
      </c>
      <c r="B5" s="5"/>
      <c r="C5" s="5"/>
      <c r="D5" s="54"/>
      <c r="E5" s="5"/>
      <c r="F5" s="5"/>
      <c r="G5" s="5"/>
      <c r="H5" s="5"/>
      <c r="I5" s="5"/>
    </row>
    <row r="6" customFormat="false" ht="15" hidden="false" customHeight="false" outlineLevel="0" collapsed="false">
      <c r="A6" s="6" t="s">
        <v>49</v>
      </c>
      <c r="B6" s="55" t="n">
        <f aca="false">Historicals!D49</f>
        <v>0.025</v>
      </c>
      <c r="C6" s="55" t="n">
        <f aca="false">Historicals!E49</f>
        <v>0.09</v>
      </c>
      <c r="D6" s="56" t="n">
        <f aca="false">Assumptions!B6</f>
        <v>0.09</v>
      </c>
      <c r="E6" s="55" t="n">
        <f aca="false">Assumptions!C6</f>
        <v>0.08</v>
      </c>
      <c r="F6" s="55" t="n">
        <f aca="false">Assumptions!D6</f>
        <v>0.08</v>
      </c>
      <c r="G6" s="55" t="n">
        <f aca="false">Assumptions!E6</f>
        <v>0.075</v>
      </c>
      <c r="H6" s="55" t="n">
        <f aca="false">Assumptions!F6</f>
        <v>0.07</v>
      </c>
      <c r="I6" s="57" t="s">
        <v>305</v>
      </c>
    </row>
    <row r="7" customFormat="false" ht="15" hidden="false" customHeight="false" outlineLevel="0" collapsed="false">
      <c r="A7" s="6" t="s">
        <v>306</v>
      </c>
      <c r="B7" s="55" t="n">
        <f aca="false">Historicals!D51</f>
        <v>-0.08</v>
      </c>
      <c r="C7" s="55" t="n">
        <f aca="false">Historicals!E51</f>
        <v>-0.043119266055046</v>
      </c>
      <c r="D7" s="56" t="n">
        <f aca="false">Assumptions!B7</f>
        <v>0.05</v>
      </c>
      <c r="E7" s="55" t="n">
        <f aca="false">Assumptions!C7</f>
        <v>0.01</v>
      </c>
      <c r="F7" s="55" t="n">
        <f aca="false">Assumptions!D7</f>
        <v>0.01</v>
      </c>
      <c r="G7" s="55" t="n">
        <f aca="false">Assumptions!E7</f>
        <v>0.01</v>
      </c>
      <c r="H7" s="55" t="n">
        <f aca="false">Assumptions!F7</f>
        <v>0.01</v>
      </c>
      <c r="I7" s="57" t="s">
        <v>307</v>
      </c>
    </row>
    <row r="8" customFormat="false" ht="15" hidden="false" customHeight="false" outlineLevel="0" collapsed="false">
      <c r="A8" s="6" t="s">
        <v>308</v>
      </c>
      <c r="C8" s="55" t="n">
        <f aca="false">Historicals!E40/Historicals!D40-1</f>
        <v>0.0434959198248115</v>
      </c>
      <c r="D8" s="58" t="n">
        <f aca="false">(1+D6)*(1+D7)-1</f>
        <v>0.1445</v>
      </c>
      <c r="E8" s="49" t="n">
        <f aca="false">(1+E6)*(1+E7)-1</f>
        <v>0.0908</v>
      </c>
      <c r="F8" s="49" t="n">
        <f aca="false">(1+F6)*(1+F7)-1</f>
        <v>0.0908</v>
      </c>
      <c r="G8" s="49" t="n">
        <f aca="false">(1+G6)*(1+G7)-1</f>
        <v>0.08575</v>
      </c>
      <c r="H8" s="49" t="n">
        <f aca="false">(1+H6)*(1+H7)-1</f>
        <v>0.0807</v>
      </c>
      <c r="I8" s="57" t="s">
        <v>309</v>
      </c>
    </row>
    <row r="9" customFormat="false" ht="15" hidden="false" customHeight="false" outlineLevel="0" collapsed="false">
      <c r="A9" s="6" t="s">
        <v>310</v>
      </c>
      <c r="B9" s="59" t="n">
        <f aca="false">Historicals!D40</f>
        <v>29545.3</v>
      </c>
      <c r="C9" s="59" t="n">
        <f aca="false">Historicals!E40</f>
        <v>30830.4</v>
      </c>
      <c r="D9" s="60" t="n">
        <f aca="false">C9*(1+D8)</f>
        <v>35285.3928</v>
      </c>
      <c r="E9" s="44" t="n">
        <f aca="false">D9*(1+E8)</f>
        <v>38489.30646624</v>
      </c>
      <c r="F9" s="44" t="n">
        <f aca="false">E9*(1+F8)</f>
        <v>41984.1354933746</v>
      </c>
      <c r="G9" s="44" t="n">
        <f aca="false">F9*(1+G8)</f>
        <v>45584.2751119315</v>
      </c>
      <c r="H9" s="44" t="n">
        <f aca="false">G9*(1+H8)</f>
        <v>49262.9261134643</v>
      </c>
      <c r="I9" s="57" t="s">
        <v>40</v>
      </c>
    </row>
    <row r="10" customFormat="false" ht="15" hidden="false" customHeight="false" outlineLevel="0" collapsed="false">
      <c r="A10" s="6" t="s">
        <v>53</v>
      </c>
      <c r="C10" s="55" t="n">
        <f aca="false">Historicals!E41/Historicals!D41-1</f>
        <v>0.0936603182885467</v>
      </c>
      <c r="D10" s="56" t="n">
        <f aca="false">Assumptions!B8</f>
        <v>0.12</v>
      </c>
      <c r="E10" s="55" t="n">
        <f aca="false">Assumptions!C8</f>
        <v>0.09</v>
      </c>
      <c r="F10" s="55" t="n">
        <f aca="false">Assumptions!D8</f>
        <v>0.09</v>
      </c>
      <c r="G10" s="55" t="n">
        <f aca="false">Assumptions!E8</f>
        <v>0.08</v>
      </c>
      <c r="H10" s="55" t="n">
        <f aca="false">Assumptions!F8</f>
        <v>0.08</v>
      </c>
      <c r="I10" s="57" t="s">
        <v>36</v>
      </c>
    </row>
    <row r="11" customFormat="false" ht="15" hidden="false" customHeight="false" outlineLevel="0" collapsed="false">
      <c r="A11" s="6" t="s">
        <v>311</v>
      </c>
      <c r="B11" s="59" t="n">
        <f aca="false">Historicals!D41</f>
        <v>3066.4</v>
      </c>
      <c r="C11" s="59" t="n">
        <f aca="false">Historicals!E41</f>
        <v>3353.6</v>
      </c>
      <c r="D11" s="60" t="n">
        <f aca="false">C11*(1+D10)</f>
        <v>3756.032</v>
      </c>
      <c r="E11" s="44" t="n">
        <f aca="false">D11*(1+E10)</f>
        <v>4094.07488</v>
      </c>
      <c r="F11" s="44" t="n">
        <f aca="false">E11*(1+F10)</f>
        <v>4462.5416192</v>
      </c>
      <c r="G11" s="44" t="n">
        <f aca="false">F11*(1+G10)</f>
        <v>4819.544948736</v>
      </c>
      <c r="H11" s="44" t="n">
        <f aca="false">G11*(1+H10)</f>
        <v>5205.10854463488</v>
      </c>
      <c r="I11" s="57" t="s">
        <v>40</v>
      </c>
    </row>
    <row r="12" customFormat="false" ht="15" hidden="false" customHeight="false" outlineLevel="0" collapsed="false">
      <c r="A12" s="6" t="s">
        <v>55</v>
      </c>
      <c r="C12" s="55" t="n">
        <f aca="false">Historicals!E42/Historicals!D42-1</f>
        <v>0.123724382221473</v>
      </c>
      <c r="D12" s="56" t="n">
        <f aca="false">Assumptions!B9</f>
        <v>0.14</v>
      </c>
      <c r="E12" s="55" t="n">
        <f aca="false">Assumptions!C9</f>
        <v>0.1</v>
      </c>
      <c r="F12" s="55" t="n">
        <f aca="false">Assumptions!D9</f>
        <v>0.1</v>
      </c>
      <c r="G12" s="55" t="n">
        <f aca="false">Assumptions!E9</f>
        <v>0.09</v>
      </c>
      <c r="H12" s="55" t="n">
        <f aca="false">Assumptions!F9</f>
        <v>0.09</v>
      </c>
      <c r="I12" s="57" t="s">
        <v>312</v>
      </c>
    </row>
    <row r="13" customFormat="false" ht="15" hidden="false" customHeight="false" outlineLevel="0" collapsed="false">
      <c r="A13" s="6" t="s">
        <v>313</v>
      </c>
      <c r="B13" s="59" t="n">
        <f aca="false">Historicals!D42</f>
        <v>1185.7</v>
      </c>
      <c r="C13" s="59" t="n">
        <f aca="false">Historicals!E42</f>
        <v>1332.4</v>
      </c>
      <c r="D13" s="60" t="n">
        <f aca="false">C13*(1+D12)</f>
        <v>1518.936</v>
      </c>
      <c r="E13" s="44" t="n">
        <f aca="false">D13*(1+E12)</f>
        <v>1670.8296</v>
      </c>
      <c r="F13" s="44" t="n">
        <f aca="false">E13*(1+F12)</f>
        <v>1837.91256</v>
      </c>
      <c r="G13" s="44" t="n">
        <f aca="false">F13*(1+G12)</f>
        <v>2003.3246904</v>
      </c>
      <c r="H13" s="44" t="n">
        <f aca="false">G13*(1+H12)</f>
        <v>2183.623912536</v>
      </c>
      <c r="I13" s="57" t="s">
        <v>40</v>
      </c>
    </row>
    <row r="14" customFormat="false" ht="15" hidden="false" customHeight="false" outlineLevel="0" collapsed="false">
      <c r="A14" s="6" t="s">
        <v>278</v>
      </c>
      <c r="B14" s="59" t="n">
        <f aca="false">Historicals!D45</f>
        <v>108.3</v>
      </c>
      <c r="C14" s="59" t="n">
        <f aca="false">Historicals!E45</f>
        <v>67.2</v>
      </c>
      <c r="D14" s="61" t="n">
        <f aca="false">Assumptions!B10</f>
        <v>67.2</v>
      </c>
      <c r="E14" s="59" t="n">
        <f aca="false">Assumptions!C10</f>
        <v>67.2</v>
      </c>
      <c r="F14" s="59" t="n">
        <f aca="false">Assumptions!D10</f>
        <v>67.2</v>
      </c>
      <c r="G14" s="59" t="n">
        <f aca="false">Assumptions!E10</f>
        <v>67.2</v>
      </c>
      <c r="H14" s="59" t="n">
        <f aca="false">Assumptions!F10</f>
        <v>67.2</v>
      </c>
      <c r="I14" s="57" t="s">
        <v>36</v>
      </c>
    </row>
    <row r="15" customFormat="false" ht="15" hidden="false" customHeight="false" outlineLevel="0" collapsed="false">
      <c r="A15" s="26" t="s">
        <v>217</v>
      </c>
      <c r="B15" s="45" t="n">
        <f aca="false">B9+B11+B13+B14</f>
        <v>33905.7</v>
      </c>
      <c r="C15" s="45" t="n">
        <f aca="false">C9+C11+C13+C14</f>
        <v>35583.6</v>
      </c>
      <c r="D15" s="62" t="n">
        <f aca="false">D9+D11+D13+D14</f>
        <v>40627.5608</v>
      </c>
      <c r="E15" s="45" t="n">
        <f aca="false">E9+E11+E13+E14</f>
        <v>44321.41094624</v>
      </c>
      <c r="F15" s="45" t="n">
        <f aca="false">F9+F11+F13+F14</f>
        <v>48351.7896725746</v>
      </c>
      <c r="G15" s="45" t="n">
        <f aca="false">G9+G11+G13+G14</f>
        <v>52474.3447510675</v>
      </c>
      <c r="H15" s="45" t="n">
        <f aca="false">H9+H11+H13+H14</f>
        <v>56718.8585706352</v>
      </c>
      <c r="I15" s="57" t="s">
        <v>314</v>
      </c>
    </row>
    <row r="16" customFormat="false" ht="15" hidden="false" customHeight="false" outlineLevel="0" collapsed="false">
      <c r="A16" s="6" t="s">
        <v>262</v>
      </c>
      <c r="C16" s="49" t="n">
        <f aca="false">C15/B15-1</f>
        <v>0.0494872543554621</v>
      </c>
      <c r="D16" s="58" t="n">
        <f aca="false">D15/C15-1</f>
        <v>0.141749592508909</v>
      </c>
      <c r="E16" s="49" t="n">
        <f aca="false">E15/D15-1</f>
        <v>0.0909198109240168</v>
      </c>
      <c r="F16" s="49" t="n">
        <f aca="false">F15/E15-1</f>
        <v>0.0909352531945173</v>
      </c>
      <c r="G16" s="49" t="n">
        <f aca="false">G15/F15-1</f>
        <v>0.0852616853773092</v>
      </c>
      <c r="H16" s="49" t="n">
        <f aca="false">H15/G15-1</f>
        <v>0.0808874096418593</v>
      </c>
      <c r="I16" s="57" t="s">
        <v>40</v>
      </c>
    </row>
    <row r="17" customFormat="false" ht="15" hidden="false" customHeight="false" outlineLevel="0" collapsed="false">
      <c r="D17" s="63"/>
    </row>
    <row r="18" customFormat="false" ht="15" hidden="false" customHeight="false" outlineLevel="0" collapsed="false">
      <c r="A18" s="4" t="s">
        <v>315</v>
      </c>
      <c r="B18" s="5"/>
      <c r="C18" s="5"/>
      <c r="D18" s="54"/>
      <c r="E18" s="5"/>
      <c r="F18" s="5"/>
      <c r="G18" s="5"/>
      <c r="H18" s="5"/>
      <c r="I18" s="5"/>
    </row>
    <row r="19" customFormat="false" ht="15" hidden="false" customHeight="false" outlineLevel="0" collapsed="false">
      <c r="A19" s="6" t="s">
        <v>57</v>
      </c>
      <c r="B19" s="55" t="n">
        <f aca="false">Historicals!D31</f>
        <v>0.424408696847307</v>
      </c>
      <c r="C19" s="55" t="n">
        <f aca="false">Historicals!E31</f>
        <v>0.437892351351215</v>
      </c>
      <c r="D19" s="56" t="n">
        <f aca="false">Assumptions!B12</f>
        <v>0.428</v>
      </c>
      <c r="E19" s="55" t="n">
        <f aca="false">Assumptions!C12</f>
        <v>0.435</v>
      </c>
      <c r="F19" s="55" t="n">
        <f aca="false">Assumptions!D12</f>
        <v>0.438</v>
      </c>
      <c r="G19" s="55" t="n">
        <f aca="false">Assumptions!E12</f>
        <v>0.44</v>
      </c>
      <c r="H19" s="55" t="n">
        <f aca="false">Assumptions!F12</f>
        <v>0.44</v>
      </c>
      <c r="I19" s="57" t="s">
        <v>316</v>
      </c>
    </row>
    <row r="20" customFormat="false" ht="15" hidden="false" customHeight="false" outlineLevel="0" collapsed="false">
      <c r="A20" s="6" t="s">
        <v>231</v>
      </c>
      <c r="B20" s="59" t="n">
        <f aca="false">Historicals!D11</f>
        <v>14389.84</v>
      </c>
      <c r="C20" s="59" t="n">
        <f aca="false">Historicals!E11</f>
        <v>15581.76</v>
      </c>
      <c r="D20" s="60" t="n">
        <f aca="false">D15*D19</f>
        <v>17388.5960224</v>
      </c>
      <c r="E20" s="44" t="n">
        <f aca="false">E15*E19</f>
        <v>19279.8137616144</v>
      </c>
      <c r="F20" s="44" t="n">
        <f aca="false">F15*F19</f>
        <v>21178.0838765877</v>
      </c>
      <c r="G20" s="44" t="n">
        <f aca="false">G15*G19</f>
        <v>23088.7116904697</v>
      </c>
      <c r="H20" s="44" t="n">
        <f aca="false">H15*H19</f>
        <v>24956.2977710795</v>
      </c>
      <c r="I20" s="57" t="s">
        <v>40</v>
      </c>
    </row>
    <row r="21" customFormat="false" ht="15" hidden="false" customHeight="false" outlineLevel="0" collapsed="false">
      <c r="A21" s="6" t="s">
        <v>59</v>
      </c>
      <c r="B21" s="55" t="n">
        <f aca="false">Historicals!D35</f>
        <v>0.0766017551072654</v>
      </c>
      <c r="C21" s="55" t="n">
        <f aca="false">Historicals!E35</f>
        <v>0.0786765453914928</v>
      </c>
      <c r="D21" s="56" t="n">
        <f aca="false">Assumptions!B13</f>
        <v>0.075</v>
      </c>
      <c r="E21" s="55" t="n">
        <f aca="false">Assumptions!C13</f>
        <v>0.074</v>
      </c>
      <c r="F21" s="55" t="n">
        <f aca="false">Assumptions!D13</f>
        <v>0.073</v>
      </c>
      <c r="G21" s="55" t="n">
        <f aca="false">Assumptions!E13</f>
        <v>0.073</v>
      </c>
      <c r="H21" s="55" t="n">
        <f aca="false">Assumptions!F13</f>
        <v>0.073</v>
      </c>
      <c r="I21" s="57" t="s">
        <v>36</v>
      </c>
    </row>
    <row r="22" customFormat="false" ht="15" hidden="false" customHeight="false" outlineLevel="0" collapsed="false">
      <c r="A22" s="6" t="s">
        <v>317</v>
      </c>
      <c r="B22" s="59" t="n">
        <f aca="false">Historicals!D12</f>
        <v>2597.23</v>
      </c>
      <c r="C22" s="59" t="n">
        <f aca="false">Historicals!E12</f>
        <v>2799.59</v>
      </c>
      <c r="D22" s="60" t="n">
        <f aca="false">D15*D21</f>
        <v>3047.06706</v>
      </c>
      <c r="E22" s="44" t="n">
        <f aca="false">E15*E21</f>
        <v>3279.78441002176</v>
      </c>
      <c r="F22" s="44" t="n">
        <f aca="false">F15*F21</f>
        <v>3529.68064609794</v>
      </c>
      <c r="G22" s="44" t="n">
        <f aca="false">G15*G21</f>
        <v>3830.62716682793</v>
      </c>
      <c r="H22" s="44" t="n">
        <f aca="false">H15*H21</f>
        <v>4140.47667565637</v>
      </c>
      <c r="I22" s="57" t="s">
        <v>40</v>
      </c>
    </row>
    <row r="23" customFormat="false" ht="15" hidden="false" customHeight="false" outlineLevel="0" collapsed="false">
      <c r="A23" s="6" t="s">
        <v>61</v>
      </c>
      <c r="B23" s="55" t="n">
        <f aca="false">Historicals!D36</f>
        <v>0.170661972852878</v>
      </c>
      <c r="C23" s="55" t="n">
        <f aca="false">Historicals!E36</f>
        <v>0.17104116116609</v>
      </c>
      <c r="D23" s="56" t="n">
        <f aca="false">Assumptions!B14</f>
        <v>0.166</v>
      </c>
      <c r="E23" s="55" t="n">
        <f aca="false">Assumptions!C14</f>
        <v>0.166</v>
      </c>
      <c r="F23" s="55" t="n">
        <f aca="false">Assumptions!D14</f>
        <v>0.167</v>
      </c>
      <c r="G23" s="55" t="n">
        <f aca="false">Assumptions!E14</f>
        <v>0.168</v>
      </c>
      <c r="H23" s="55" t="n">
        <f aca="false">Assumptions!F14</f>
        <v>0.168</v>
      </c>
      <c r="I23" s="57" t="s">
        <v>36</v>
      </c>
    </row>
    <row r="24" customFormat="false" ht="15" hidden="false" customHeight="false" outlineLevel="0" collapsed="false">
      <c r="A24" s="6" t="s">
        <v>234</v>
      </c>
      <c r="B24" s="59" t="n">
        <f aca="false">Historicals!D13</f>
        <v>5786.4</v>
      </c>
      <c r="C24" s="59" t="n">
        <f aca="false">Historicals!E13</f>
        <v>6086.25</v>
      </c>
      <c r="D24" s="60" t="n">
        <f aca="false">D15*D23</f>
        <v>6744.1750928</v>
      </c>
      <c r="E24" s="44" t="n">
        <f aca="false">E15*E23</f>
        <v>7357.35421707584</v>
      </c>
      <c r="F24" s="44" t="n">
        <f aca="false">F15*F23</f>
        <v>8074.74887531996</v>
      </c>
      <c r="G24" s="44" t="n">
        <f aca="false">G15*G23</f>
        <v>8815.68991817933</v>
      </c>
      <c r="H24" s="44" t="n">
        <f aca="false">H15*H23</f>
        <v>9528.76823986672</v>
      </c>
      <c r="I24" s="57" t="s">
        <v>40</v>
      </c>
    </row>
    <row r="25" customFormat="false" ht="15" hidden="false" customHeight="false" outlineLevel="0" collapsed="false">
      <c r="A25" s="26" t="s">
        <v>318</v>
      </c>
      <c r="B25" s="45" t="n">
        <f aca="false">B20-B22-B24</f>
        <v>6006.21000000001</v>
      </c>
      <c r="C25" s="45" t="n">
        <f aca="false">C20-C22-C24</f>
        <v>6695.92</v>
      </c>
      <c r="D25" s="62" t="n">
        <f aca="false">D20-D22-D24</f>
        <v>7597.3538696</v>
      </c>
      <c r="E25" s="45" t="n">
        <f aca="false">E20-E22-E24</f>
        <v>8642.6751345168</v>
      </c>
      <c r="F25" s="45" t="n">
        <f aca="false">F20-F22-F24</f>
        <v>9573.65435516976</v>
      </c>
      <c r="G25" s="45" t="n">
        <f aca="false">G20-G22-G24</f>
        <v>10442.3946054624</v>
      </c>
      <c r="H25" s="45" t="n">
        <f aca="false">H20-H22-H24</f>
        <v>11287.0528555564</v>
      </c>
      <c r="I25" s="57" t="s">
        <v>40</v>
      </c>
    </row>
    <row r="26" customFormat="false" ht="15" hidden="false" customHeight="false" outlineLevel="0" collapsed="false">
      <c r="A26" s="26" t="s">
        <v>39</v>
      </c>
      <c r="B26" s="50" t="n">
        <f aca="false">B25/B15</f>
        <v>0.177144550916218</v>
      </c>
      <c r="C26" s="50" t="n">
        <f aca="false">C25/C15</f>
        <v>0.188174327499185</v>
      </c>
      <c r="D26" s="64" t="n">
        <f aca="false">D25/D15</f>
        <v>0.187</v>
      </c>
      <c r="E26" s="50" t="n">
        <f aca="false">E25/E15</f>
        <v>0.195</v>
      </c>
      <c r="F26" s="50" t="n">
        <f aca="false">F25/F15</f>
        <v>0.198</v>
      </c>
      <c r="G26" s="50" t="n">
        <f aca="false">G25/G15</f>
        <v>0.199</v>
      </c>
      <c r="H26" s="50" t="n">
        <f aca="false">H25/H15</f>
        <v>0.199</v>
      </c>
      <c r="I26" s="57" t="s">
        <v>319</v>
      </c>
    </row>
    <row r="27" customFormat="false" ht="15" hidden="false" customHeight="false" outlineLevel="0" collapsed="false">
      <c r="A27" s="6" t="s">
        <v>155</v>
      </c>
      <c r="B27" s="55" t="n">
        <f aca="false">Historicals!D17/Historicals!D6</f>
        <v>0.0302704979292518</v>
      </c>
      <c r="C27" s="55" t="n">
        <f aca="false">Historicals!E17/Historicals!E6</f>
        <v>0.0345342256560196</v>
      </c>
      <c r="D27" s="56" t="n">
        <f aca="false">Assumptions!B15</f>
        <v>0.034</v>
      </c>
      <c r="E27" s="55" t="n">
        <f aca="false">Assumptions!C15</f>
        <v>0.034</v>
      </c>
      <c r="F27" s="55" t="n">
        <f aca="false">Assumptions!D15</f>
        <v>0.034</v>
      </c>
      <c r="G27" s="55" t="n">
        <f aca="false">Assumptions!E15</f>
        <v>0.034</v>
      </c>
      <c r="H27" s="55" t="n">
        <f aca="false">Assumptions!F15</f>
        <v>0.034</v>
      </c>
      <c r="I27" s="57" t="s">
        <v>36</v>
      </c>
    </row>
    <row r="28" customFormat="false" ht="15" hidden="false" customHeight="false" outlineLevel="0" collapsed="false">
      <c r="A28" s="6" t="s">
        <v>320</v>
      </c>
      <c r="B28" s="59" t="n">
        <f aca="false">Historicals!D17</f>
        <v>1026.34</v>
      </c>
      <c r="C28" s="59" t="n">
        <f aca="false">Historicals!E17</f>
        <v>1228.85</v>
      </c>
      <c r="D28" s="60" t="n">
        <f aca="false">D15*D27</f>
        <v>1381.3370672</v>
      </c>
      <c r="E28" s="44" t="n">
        <f aca="false">E15*E27</f>
        <v>1506.92797217216</v>
      </c>
      <c r="F28" s="44" t="n">
        <f aca="false">F15*F27</f>
        <v>1643.96084886754</v>
      </c>
      <c r="G28" s="44" t="n">
        <f aca="false">G15*G27</f>
        <v>1784.12772153629</v>
      </c>
      <c r="H28" s="44" t="n">
        <f aca="false">H15*H27</f>
        <v>1928.4411914016</v>
      </c>
      <c r="I28" s="57" t="s">
        <v>40</v>
      </c>
    </row>
    <row r="29" customFormat="false" ht="15" hidden="false" customHeight="false" outlineLevel="0" collapsed="false">
      <c r="A29" s="6" t="s">
        <v>321</v>
      </c>
      <c r="B29" s="44" t="n">
        <f aca="false">B25-B28</f>
        <v>4979.87</v>
      </c>
      <c r="C29" s="44" t="n">
        <f aca="false">C25-C28</f>
        <v>5467.07</v>
      </c>
      <c r="D29" s="60" t="n">
        <f aca="false">D25-D28</f>
        <v>6216.0168024</v>
      </c>
      <c r="E29" s="44" t="n">
        <f aca="false">E25-E28</f>
        <v>7135.74716234464</v>
      </c>
      <c r="F29" s="44" t="n">
        <f aca="false">F25-F28</f>
        <v>7929.69350630223</v>
      </c>
      <c r="G29" s="44" t="n">
        <f aca="false">G25-G28</f>
        <v>8658.26688392613</v>
      </c>
      <c r="H29" s="44" t="n">
        <f aca="false">H25-H28</f>
        <v>9358.61166415481</v>
      </c>
      <c r="I29" s="57" t="s">
        <v>40</v>
      </c>
    </row>
    <row r="30" customFormat="false" ht="15" hidden="false" customHeight="false" outlineLevel="0" collapsed="false">
      <c r="A30" s="6" t="s">
        <v>238</v>
      </c>
      <c r="B30" s="59" t="n">
        <f aca="false">Historicals!D15</f>
        <v>572.61</v>
      </c>
      <c r="C30" s="59" t="n">
        <f aca="false">Historicals!E15</f>
        <v>723.8</v>
      </c>
      <c r="D30" s="60" t="n">
        <f aca="false">D15*Assumptions!B16</f>
        <v>731.2960944</v>
      </c>
      <c r="E30" s="44" t="n">
        <f aca="false">E15*Assumptions!C16</f>
        <v>797.78539703232</v>
      </c>
      <c r="F30" s="44" t="n">
        <f aca="false">F15*Assumptions!D16</f>
        <v>870.332214106342</v>
      </c>
      <c r="G30" s="44" t="n">
        <f aca="false">G15*Assumptions!E16</f>
        <v>944.538205519214</v>
      </c>
      <c r="H30" s="44" t="n">
        <f aca="false">H15*Assumptions!F16</f>
        <v>1020.93945427143</v>
      </c>
      <c r="I30" s="57" t="s">
        <v>322</v>
      </c>
    </row>
    <row r="31" customFormat="false" ht="15" hidden="false" customHeight="false" outlineLevel="0" collapsed="false">
      <c r="A31" s="6" t="s">
        <v>239</v>
      </c>
      <c r="B31" s="59" t="n">
        <f aca="false">Historicals!D16</f>
        <v>227.02</v>
      </c>
      <c r="C31" s="59" t="n">
        <f aca="false">Historicals!E16</f>
        <v>195.41</v>
      </c>
      <c r="D31" s="61" t="n">
        <f aca="false">Assumptions!B17</f>
        <v>200</v>
      </c>
      <c r="E31" s="59" t="n">
        <f aca="false">Assumptions!C17</f>
        <v>200</v>
      </c>
      <c r="F31" s="59" t="n">
        <f aca="false">Assumptions!D17</f>
        <v>200</v>
      </c>
      <c r="G31" s="59" t="n">
        <f aca="false">Assumptions!E17</f>
        <v>200</v>
      </c>
      <c r="H31" s="59" t="n">
        <f aca="false">Assumptions!F17</f>
        <v>200</v>
      </c>
      <c r="I31" s="57" t="s">
        <v>36</v>
      </c>
    </row>
    <row r="32" customFormat="false" ht="15" hidden="false" customHeight="false" outlineLevel="0" collapsed="false">
      <c r="A32" s="26" t="s">
        <v>323</v>
      </c>
      <c r="B32" s="65" t="n">
        <f aca="false">Historicals!D19-Historicals!D18</f>
        <v>5325.46</v>
      </c>
      <c r="C32" s="65" t="n">
        <f aca="false">Historicals!E19-Historicals!E18</f>
        <v>5995.46</v>
      </c>
      <c r="D32" s="62" t="n">
        <f aca="false">D29+D30-D31</f>
        <v>6747.3128968</v>
      </c>
      <c r="E32" s="45" t="n">
        <f aca="false">E29+E30-E31</f>
        <v>7733.53255937696</v>
      </c>
      <c r="F32" s="45" t="n">
        <f aca="false">F29+F30-F31</f>
        <v>8600.02572040857</v>
      </c>
      <c r="G32" s="45" t="n">
        <f aca="false">G29+G30-G31</f>
        <v>9402.80508944535</v>
      </c>
      <c r="H32" s="45" t="n">
        <f aca="false">H29+H30-H31</f>
        <v>10179.5511184262</v>
      </c>
      <c r="I32" s="57" t="s">
        <v>324</v>
      </c>
    </row>
    <row r="33" customFormat="false" ht="15" hidden="false" customHeight="false" outlineLevel="0" collapsed="false">
      <c r="A33" s="6" t="s">
        <v>67</v>
      </c>
      <c r="B33" s="55" t="n">
        <f aca="false">Historicals!D34</f>
        <v>0.280785755164881</v>
      </c>
      <c r="C33" s="55" t="n">
        <f aca="false">Historicals!E34</f>
        <v>0.27557234255762</v>
      </c>
      <c r="D33" s="56" t="n">
        <f aca="false">Assumptions!B18</f>
        <v>0.26</v>
      </c>
      <c r="E33" s="55" t="n">
        <f aca="false">Assumptions!C18</f>
        <v>0.26</v>
      </c>
      <c r="F33" s="55" t="n">
        <f aca="false">Assumptions!D18</f>
        <v>0.26</v>
      </c>
      <c r="G33" s="55" t="n">
        <f aca="false">Assumptions!E18</f>
        <v>0.26</v>
      </c>
      <c r="H33" s="55" t="n">
        <f aca="false">Assumptions!F18</f>
        <v>0.26</v>
      </c>
      <c r="I33" s="57" t="s">
        <v>36</v>
      </c>
    </row>
    <row r="34" customFormat="false" ht="15" hidden="false" customHeight="false" outlineLevel="0" collapsed="false">
      <c r="A34" s="6" t="s">
        <v>325</v>
      </c>
      <c r="D34" s="60" t="n">
        <f aca="false">D32*(1-D33)</f>
        <v>4993.011543632</v>
      </c>
      <c r="E34" s="44" t="n">
        <f aca="false">E32*(1-E33)</f>
        <v>5722.81409393895</v>
      </c>
      <c r="F34" s="44" t="n">
        <f aca="false">F32*(1-F33)</f>
        <v>6364.01903310234</v>
      </c>
      <c r="G34" s="44" t="n">
        <f aca="false">G32*(1-G33)</f>
        <v>6958.07576618956</v>
      </c>
      <c r="H34" s="44" t="n">
        <f aca="false">H32*(1-H33)</f>
        <v>7532.86782763542</v>
      </c>
      <c r="I34" s="57" t="s">
        <v>40</v>
      </c>
    </row>
    <row r="35" customFormat="false" ht="15" hidden="false" customHeight="false" outlineLevel="0" collapsed="false">
      <c r="A35" s="6" t="s">
        <v>326</v>
      </c>
      <c r="B35" s="59" t="n">
        <f aca="false">Historicals!D22+Historicals!D23</f>
        <v>98.23</v>
      </c>
      <c r="C35" s="59" t="n">
        <f aca="false">Historicals!E22+Historicals!E23</f>
        <v>96.25</v>
      </c>
      <c r="D35" s="61" t="n">
        <f aca="false">Assumptions!B19</f>
        <v>100</v>
      </c>
      <c r="E35" s="59" t="n">
        <f aca="false">Assumptions!C19</f>
        <v>100</v>
      </c>
      <c r="F35" s="59" t="n">
        <f aca="false">Assumptions!D19</f>
        <v>100</v>
      </c>
      <c r="G35" s="59" t="n">
        <f aca="false">Assumptions!E19</f>
        <v>100</v>
      </c>
      <c r="H35" s="59" t="n">
        <f aca="false">Assumptions!F19</f>
        <v>100</v>
      </c>
      <c r="I35" s="57" t="s">
        <v>36</v>
      </c>
    </row>
    <row r="36" customFormat="false" ht="15" hidden="false" customHeight="false" outlineLevel="0" collapsed="false">
      <c r="A36" s="26" t="s">
        <v>327</v>
      </c>
      <c r="B36" s="65" t="n">
        <f aca="false">Historicals!D24</f>
        <v>3667.23</v>
      </c>
      <c r="C36" s="65" t="n">
        <f aca="false">Historicals!E24</f>
        <v>4325.35</v>
      </c>
      <c r="D36" s="62" t="n">
        <f aca="false">D34+D35</f>
        <v>5093.011543632</v>
      </c>
      <c r="E36" s="45" t="n">
        <f aca="false">E34+E35</f>
        <v>5822.81409393895</v>
      </c>
      <c r="F36" s="45" t="n">
        <f aca="false">F34+F35</f>
        <v>6464.01903310234</v>
      </c>
      <c r="G36" s="45" t="n">
        <f aca="false">G34+G35</f>
        <v>7058.07576618956</v>
      </c>
      <c r="H36" s="45" t="n">
        <f aca="false">H34+H35</f>
        <v>7632.86782763542</v>
      </c>
      <c r="I36" s="57" t="s">
        <v>328</v>
      </c>
    </row>
    <row r="37" customFormat="false" ht="15" hidden="false" customHeight="false" outlineLevel="0" collapsed="false">
      <c r="A37" s="26" t="s">
        <v>41</v>
      </c>
      <c r="B37" s="66" t="n">
        <f aca="false">Historicals!D26</f>
        <v>38.2321726438699</v>
      </c>
      <c r="C37" s="66" t="n">
        <f aca="false">Historicals!E26</f>
        <v>45.0933069224354</v>
      </c>
      <c r="D37" s="67" t="n">
        <f aca="false">D36/Historicals!$E$25</f>
        <v>53.0964506216847</v>
      </c>
      <c r="E37" s="47" t="n">
        <f aca="false">E36/Historicals!$E$25</f>
        <v>60.704900895944</v>
      </c>
      <c r="F37" s="47" t="n">
        <f aca="false">F36/Historicals!$E$25</f>
        <v>67.3896896695407</v>
      </c>
      <c r="G37" s="47" t="n">
        <f aca="false">G36/Historicals!$E$25</f>
        <v>73.5829416825433</v>
      </c>
      <c r="H37" s="47" t="n">
        <f aca="false">H36/Historicals!$E$25</f>
        <v>79.5753526650899</v>
      </c>
      <c r="I37" s="57" t="s">
        <v>40</v>
      </c>
    </row>
    <row r="38" customFormat="false" ht="15" hidden="false" customHeight="false" outlineLevel="0" collapsed="false">
      <c r="A38" s="6" t="s">
        <v>329</v>
      </c>
      <c r="C38" s="49" t="n">
        <f aca="false">C37/B37-1</f>
        <v>0.179459701191362</v>
      </c>
      <c r="D38" s="58" t="n">
        <f aca="false">D37/C37-1</f>
        <v>0.177479636013732</v>
      </c>
      <c r="E38" s="49" t="n">
        <f aca="false">E37/D37-1</f>
        <v>0.143294894200554</v>
      </c>
      <c r="F38" s="49" t="n">
        <f aca="false">F37/E37-1</f>
        <v>0.110119424872388</v>
      </c>
      <c r="G38" s="49" t="n">
        <f aca="false">G37/F37-1</f>
        <v>0.091902070529966</v>
      </c>
      <c r="H38" s="49" t="n">
        <f aca="false">H37/G37-1</f>
        <v>0.0814375023004572</v>
      </c>
      <c r="I38" s="57" t="s">
        <v>330</v>
      </c>
    </row>
    <row r="39" customFormat="false" ht="15" hidden="false" customHeight="false" outlineLevel="0" collapsed="false">
      <c r="D39" s="63"/>
    </row>
    <row r="40" customFormat="false" ht="15" hidden="false" customHeight="false" outlineLevel="0" collapsed="false">
      <c r="A40" s="4" t="s">
        <v>172</v>
      </c>
      <c r="B40" s="5"/>
      <c r="C40" s="5"/>
      <c r="D40" s="54"/>
      <c r="E40" s="5"/>
      <c r="F40" s="5"/>
      <c r="G40" s="5"/>
      <c r="H40" s="5"/>
      <c r="I40" s="5"/>
    </row>
    <row r="41" customFormat="false" ht="15" hidden="false" customHeight="false" outlineLevel="0" collapsed="false">
      <c r="A41" s="6" t="s">
        <v>331</v>
      </c>
      <c r="B41" s="68" t="n">
        <f aca="false">'Balance Sheet'!D29</f>
        <v>72.334130742927</v>
      </c>
      <c r="C41" s="68" t="n">
        <f aca="false">'Balance Sheet'!E29</f>
        <v>58.9161969270061</v>
      </c>
      <c r="D41" s="69" t="n">
        <f aca="false">Assumptions!B21</f>
        <v>60</v>
      </c>
      <c r="E41" s="68" t="n">
        <f aca="false">Assumptions!C21</f>
        <v>60</v>
      </c>
      <c r="F41" s="68" t="n">
        <f aca="false">Assumptions!D21</f>
        <v>60</v>
      </c>
      <c r="G41" s="68" t="n">
        <f aca="false">Assumptions!E21</f>
        <v>60</v>
      </c>
      <c r="H41" s="68" t="n">
        <f aca="false">Assumptions!F21</f>
        <v>60</v>
      </c>
      <c r="I41" s="57" t="s">
        <v>36</v>
      </c>
    </row>
    <row r="42" customFormat="false" ht="15" hidden="false" customHeight="false" outlineLevel="0" collapsed="false">
      <c r="A42" s="6" t="s">
        <v>177</v>
      </c>
      <c r="B42" s="68" t="n">
        <f aca="false">'Balance Sheet'!D30</f>
        <v>46.4372056903841</v>
      </c>
      <c r="C42" s="68" t="n">
        <f aca="false">'Balance Sheet'!E30</f>
        <v>45.767144022208</v>
      </c>
      <c r="D42" s="69" t="n">
        <f aca="false">Assumptions!B22</f>
        <v>46</v>
      </c>
      <c r="E42" s="68" t="n">
        <f aca="false">Assumptions!C22</f>
        <v>46</v>
      </c>
      <c r="F42" s="68" t="n">
        <f aca="false">Assumptions!D22</f>
        <v>46</v>
      </c>
      <c r="G42" s="68" t="n">
        <f aca="false">Assumptions!E22</f>
        <v>46</v>
      </c>
      <c r="H42" s="68" t="n">
        <f aca="false">Assumptions!F22</f>
        <v>46</v>
      </c>
      <c r="I42" s="57" t="s">
        <v>36</v>
      </c>
    </row>
    <row r="43" customFormat="false" ht="15" hidden="false" customHeight="false" outlineLevel="0" collapsed="false">
      <c r="A43" s="6" t="s">
        <v>180</v>
      </c>
      <c r="B43" s="68" t="n">
        <f aca="false">'Balance Sheet'!D31</f>
        <v>41.4244010285021</v>
      </c>
      <c r="C43" s="68" t="n">
        <f aca="false">'Balance Sheet'!E31</f>
        <v>39.6253323868283</v>
      </c>
      <c r="D43" s="69" t="n">
        <f aca="false">Assumptions!B23</f>
        <v>40</v>
      </c>
      <c r="E43" s="68" t="n">
        <f aca="false">Assumptions!C23</f>
        <v>40</v>
      </c>
      <c r="F43" s="68" t="n">
        <f aca="false">Assumptions!D23</f>
        <v>40</v>
      </c>
      <c r="G43" s="68" t="n">
        <f aca="false">Assumptions!E23</f>
        <v>40</v>
      </c>
      <c r="H43" s="68" t="n">
        <f aca="false">Assumptions!F23</f>
        <v>40</v>
      </c>
      <c r="I43" s="57" t="s">
        <v>36</v>
      </c>
    </row>
    <row r="44" customFormat="false" ht="15" hidden="false" customHeight="false" outlineLevel="0" collapsed="false">
      <c r="A44" s="26" t="s">
        <v>332</v>
      </c>
      <c r="B44" s="65" t="n">
        <f aca="false">'Balance Sheet'!D32</f>
        <v>7184.92</v>
      </c>
      <c r="C44" s="65" t="n">
        <f aca="false">'Balance Sheet'!E32</f>
        <v>6342.45</v>
      </c>
      <c r="D44" s="62" t="n">
        <f aca="false">D15*(D41+D42-D43)/365</f>
        <v>7346.35345972603</v>
      </c>
      <c r="E44" s="45" t="n">
        <f aca="false">E15*(E41+E42-E43)/365</f>
        <v>8014.28252726531</v>
      </c>
      <c r="F44" s="45" t="n">
        <f aca="false">F15*(F41+F42-F43)/365</f>
        <v>8743.06333805458</v>
      </c>
      <c r="G44" s="45" t="n">
        <f aca="false">G15*(G41+G42-G43)/365</f>
        <v>9488.51165361768</v>
      </c>
      <c r="H44" s="45" t="n">
        <f aca="false">H15*(H41+H42-H43)/365</f>
        <v>10256.0127826354</v>
      </c>
      <c r="I44" s="57" t="s">
        <v>40</v>
      </c>
    </row>
    <row r="45" customFormat="false" ht="15" hidden="false" customHeight="false" outlineLevel="0" collapsed="false">
      <c r="A45" s="6" t="s">
        <v>333</v>
      </c>
      <c r="D45" s="60" t="n">
        <f aca="false">D44-C44</f>
        <v>1003.90345972603</v>
      </c>
      <c r="E45" s="44" t="n">
        <f aca="false">E44-D44</f>
        <v>667.929067539286</v>
      </c>
      <c r="F45" s="44" t="n">
        <f aca="false">F44-E44</f>
        <v>728.780810789267</v>
      </c>
      <c r="G45" s="44" t="n">
        <f aca="false">G44-F44</f>
        <v>745.448315563099</v>
      </c>
      <c r="H45" s="44" t="n">
        <f aca="false">H44-G44</f>
        <v>767.50112901773</v>
      </c>
      <c r="I45" s="57" t="s">
        <v>40</v>
      </c>
    </row>
    <row r="46" customFormat="false" ht="15" hidden="false" customHeight="false" outlineLevel="0" collapsed="false">
      <c r="A46" s="6" t="s">
        <v>65</v>
      </c>
      <c r="B46" s="55" t="n">
        <f aca="false">'Cash Flow'!D17</f>
        <v>0.053245450164309</v>
      </c>
      <c r="C46" s="55" t="n">
        <f aca="false">'Cash Flow'!E17</f>
        <v>0.0412274888895259</v>
      </c>
      <c r="D46" s="56" t="n">
        <f aca="false">Assumptions!B24</f>
        <v>0.045</v>
      </c>
      <c r="E46" s="55" t="n">
        <f aca="false">Assumptions!C24</f>
        <v>0.04</v>
      </c>
      <c r="F46" s="55" t="n">
        <f aca="false">Assumptions!D24</f>
        <v>0.04</v>
      </c>
      <c r="G46" s="55" t="n">
        <f aca="false">Assumptions!E24</f>
        <v>0.038</v>
      </c>
      <c r="H46" s="55" t="n">
        <f aca="false">Assumptions!F24</f>
        <v>0.038</v>
      </c>
      <c r="I46" s="57" t="s">
        <v>36</v>
      </c>
    </row>
    <row r="47" customFormat="false" ht="15" hidden="false" customHeight="false" outlineLevel="0" collapsed="false">
      <c r="A47" s="6" t="s">
        <v>334</v>
      </c>
      <c r="B47" s="59" t="n">
        <f aca="false">'Cash Flow'!D6</f>
        <v>1805.32</v>
      </c>
      <c r="C47" s="59" t="n">
        <f aca="false">'Cash Flow'!E6</f>
        <v>1467.02</v>
      </c>
      <c r="D47" s="60" t="n">
        <f aca="false">D15*D46</f>
        <v>1828.240236</v>
      </c>
      <c r="E47" s="44" t="n">
        <f aca="false">E15*E46</f>
        <v>1772.8564378496</v>
      </c>
      <c r="F47" s="44" t="n">
        <f aca="false">F15*F46</f>
        <v>1934.07158690298</v>
      </c>
      <c r="G47" s="44" t="n">
        <f aca="false">G15*G46</f>
        <v>1994.02510054056</v>
      </c>
      <c r="H47" s="44" t="n">
        <f aca="false">H15*H46</f>
        <v>2155.31662568414</v>
      </c>
      <c r="I47" s="57" t="s">
        <v>40</v>
      </c>
    </row>
    <row r="48" customFormat="false" ht="15" hidden="false" customHeight="false" outlineLevel="0" collapsed="false">
      <c r="D48" s="63"/>
    </row>
    <row r="49" customFormat="false" ht="15" hidden="false" customHeight="false" outlineLevel="0" collapsed="false">
      <c r="A49" s="4" t="s">
        <v>335</v>
      </c>
      <c r="B49" s="5"/>
      <c r="C49" s="5"/>
      <c r="D49" s="54"/>
      <c r="E49" s="5"/>
      <c r="F49" s="5"/>
      <c r="G49" s="5"/>
      <c r="H49" s="5"/>
      <c r="I49" s="5"/>
    </row>
    <row r="50" customFormat="false" ht="15" hidden="false" customHeight="false" outlineLevel="0" collapsed="false">
      <c r="A50" s="6" t="s">
        <v>336</v>
      </c>
      <c r="D50" s="60" t="n">
        <f aca="false">D29*(1-D33)</f>
        <v>4599.852433776</v>
      </c>
      <c r="E50" s="44" t="n">
        <f aca="false">E29*(1-E33)</f>
        <v>5280.45290013503</v>
      </c>
      <c r="F50" s="44" t="n">
        <f aca="false">F29*(1-F33)</f>
        <v>5867.97319466365</v>
      </c>
      <c r="G50" s="44" t="n">
        <f aca="false">G29*(1-G33)</f>
        <v>6407.11749410534</v>
      </c>
      <c r="H50" s="44" t="n">
        <f aca="false">H29*(1-H33)</f>
        <v>6925.37263147456</v>
      </c>
    </row>
    <row r="51" customFormat="false" ht="15" hidden="false" customHeight="false" outlineLevel="0" collapsed="false">
      <c r="A51" s="6" t="s">
        <v>337</v>
      </c>
      <c r="D51" s="60" t="n">
        <f aca="false">D28</f>
        <v>1381.3370672</v>
      </c>
      <c r="E51" s="44" t="n">
        <f aca="false">E28</f>
        <v>1506.92797217216</v>
      </c>
      <c r="F51" s="44" t="n">
        <f aca="false">F28</f>
        <v>1643.96084886754</v>
      </c>
      <c r="G51" s="44" t="n">
        <f aca="false">G28</f>
        <v>1784.12772153629</v>
      </c>
      <c r="H51" s="44" t="n">
        <f aca="false">H28</f>
        <v>1928.4411914016</v>
      </c>
    </row>
    <row r="52" customFormat="false" ht="15" hidden="false" customHeight="false" outlineLevel="0" collapsed="false">
      <c r="A52" s="6" t="s">
        <v>338</v>
      </c>
      <c r="D52" s="60" t="n">
        <f aca="false">D47</f>
        <v>1828.240236</v>
      </c>
      <c r="E52" s="44" t="n">
        <f aca="false">E47</f>
        <v>1772.8564378496</v>
      </c>
      <c r="F52" s="44" t="n">
        <f aca="false">F47</f>
        <v>1934.07158690298</v>
      </c>
      <c r="G52" s="44" t="n">
        <f aca="false">G47</f>
        <v>1994.02510054056</v>
      </c>
      <c r="H52" s="44" t="n">
        <f aca="false">H47</f>
        <v>2155.31662568414</v>
      </c>
    </row>
    <row r="53" customFormat="false" ht="15" hidden="false" customHeight="false" outlineLevel="0" collapsed="false">
      <c r="A53" s="6" t="s">
        <v>339</v>
      </c>
      <c r="D53" s="60" t="n">
        <f aca="false">D45</f>
        <v>1003.90345972603</v>
      </c>
      <c r="E53" s="44" t="n">
        <f aca="false">E45</f>
        <v>667.929067539286</v>
      </c>
      <c r="F53" s="44" t="n">
        <f aca="false">F45</f>
        <v>728.780810789267</v>
      </c>
      <c r="G53" s="44" t="n">
        <f aca="false">G45</f>
        <v>745.448315563099</v>
      </c>
      <c r="H53" s="44" t="n">
        <f aca="false">H45</f>
        <v>767.50112901773</v>
      </c>
    </row>
    <row r="54" customFormat="false" ht="15" hidden="false" customHeight="false" outlineLevel="0" collapsed="false">
      <c r="A54" s="26" t="s">
        <v>340</v>
      </c>
      <c r="D54" s="62" t="n">
        <f aca="false">D50+D51-D52-D53</f>
        <v>3149.04580524997</v>
      </c>
      <c r="E54" s="45" t="n">
        <f aca="false">E50+E51-E52-E53</f>
        <v>4346.59536691831</v>
      </c>
      <c r="F54" s="45" t="n">
        <f aca="false">F50+F51-F52-F53</f>
        <v>4849.08164583893</v>
      </c>
      <c r="G54" s="45" t="n">
        <f aca="false">G50+G51-G52-G53</f>
        <v>5451.77179953797</v>
      </c>
      <c r="H54" s="45" t="n">
        <f aca="false">H50+H51-H52-H53</f>
        <v>5930.99606817429</v>
      </c>
      <c r="I54" s="57" t="s">
        <v>341</v>
      </c>
    </row>
    <row r="55" customFormat="false" ht="15" hidden="false" customHeight="false" outlineLevel="0" collapsed="false">
      <c r="A55" s="6" t="s">
        <v>342</v>
      </c>
      <c r="D55" s="58" t="n">
        <f aca="false">D54/D15</f>
        <v>0.077510087813344</v>
      </c>
      <c r="E55" s="49" t="n">
        <f aca="false">E54/E15</f>
        <v>0.0980698780593999</v>
      </c>
      <c r="F55" s="49" t="n">
        <f aca="false">F54/F15</f>
        <v>0.100287531830272</v>
      </c>
      <c r="G55" s="49" t="n">
        <f aca="false">G54/G15</f>
        <v>0.103894042420169</v>
      </c>
      <c r="H55" s="49" t="n">
        <f aca="false">H54/H15</f>
        <v>0.104568325555919</v>
      </c>
    </row>
    <row r="56" customFormat="false" ht="15" hidden="false" customHeight="false" outlineLevel="0" collapsed="false">
      <c r="A56" s="6" t="s">
        <v>343</v>
      </c>
      <c r="D56" s="58" t="n">
        <f aca="false">(D52-D51+D53)/D50</f>
        <v>0.315402863333828</v>
      </c>
      <c r="E56" s="49" t="n">
        <f aca="false">(E52-E51+E53)/E50</f>
        <v>0.176851787314085</v>
      </c>
      <c r="F56" s="49" t="n">
        <f aca="false">(F52-F51+F53)/F50</f>
        <v>0.17363602644799</v>
      </c>
      <c r="G56" s="49" t="n">
        <f aca="false">(G52-G51+G53)/G50</f>
        <v>0.149106941685759</v>
      </c>
      <c r="H56" s="49" t="n">
        <f aca="false">(H52-H51+H53)/H50</f>
        <v>0.143584557281584</v>
      </c>
      <c r="I56" s="57" t="s">
        <v>344</v>
      </c>
    </row>
    <row r="57" customFormat="false" ht="15" hidden="false" customHeight="false" outlineLevel="0" collapsed="false">
      <c r="D57" s="63"/>
    </row>
    <row r="58" customFormat="false" ht="15" hidden="false" customHeight="false" outlineLevel="0" collapsed="false">
      <c r="A58" s="4" t="s">
        <v>345</v>
      </c>
      <c r="B58" s="5"/>
      <c r="C58" s="5"/>
      <c r="D58" s="54"/>
      <c r="E58" s="5"/>
      <c r="F58" s="5"/>
      <c r="G58" s="5"/>
      <c r="H58" s="5"/>
      <c r="I58" s="5"/>
    </row>
    <row r="59" customFormat="false" ht="15" hidden="false" customHeight="false" outlineLevel="0" collapsed="false">
      <c r="A59" s="6" t="s">
        <v>346</v>
      </c>
      <c r="D59" s="70" t="str">
        <f aca="false">IF(AND(D6&gt;=0.08,D6&lt;=0.1),"Inside","OUTSIDE")</f>
        <v>Inside</v>
      </c>
    </row>
    <row r="60" customFormat="false" ht="15" hidden="false" customHeight="false" outlineLevel="0" collapsed="false">
      <c r="A60" s="6" t="s">
        <v>347</v>
      </c>
      <c r="D60" s="70" t="str">
        <f aca="false">IF(AND(D26&gt;=0.18,D26&lt;=0.2),"Inside","OUTSIDE")</f>
        <v>Inside</v>
      </c>
      <c r="E60" s="71" t="str">
        <f aca="false">IF(AND(E26&gt;=0.18,E26&lt;=0.2),"Inside","OUTSIDE")</f>
        <v>Inside</v>
      </c>
      <c r="F60" s="71" t="str">
        <f aca="false">IF(AND(F26&gt;=0.18,F26&lt;=0.2),"Inside","OUTSIDE")</f>
        <v>Inside</v>
      </c>
      <c r="G60" s="71" t="str">
        <f aca="false">IF(AND(G26&gt;=0.18,G26&lt;=0.2),"Inside","OUTSIDE")</f>
        <v>Inside</v>
      </c>
      <c r="H60" s="71" t="str">
        <f aca="false">IF(AND(H26&gt;=0.18,H26&lt;=0.2),"Inside","OUTSIDE")</f>
        <v>Inside</v>
      </c>
    </row>
    <row r="61" customFormat="false" ht="15" hidden="false" customHeight="false" outlineLevel="0" collapsed="false">
      <c r="A61" s="6" t="s">
        <v>348</v>
      </c>
      <c r="D61" s="70" t="str">
        <f aca="false">IF(D8&gt;D6,"Yes","NO")</f>
        <v>Yes</v>
      </c>
    </row>
  </sheetData>
  <mergeCells count="2">
    <mergeCell ref="B3:C3"/>
    <mergeCell ref="D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33" t="s">
        <v>349</v>
      </c>
    </row>
    <row r="2" customFormat="false" ht="15" hidden="false" customHeight="false" outlineLevel="0" collapsed="false">
      <c r="A2" s="3" t="s">
        <v>350</v>
      </c>
    </row>
    <row r="3" customFormat="false" ht="15" hidden="false" customHeight="false" outlineLevel="0" collapsed="false">
      <c r="B3" s="43" t="s">
        <v>207</v>
      </c>
      <c r="C3" s="43"/>
      <c r="D3" s="43"/>
      <c r="E3" s="43"/>
    </row>
    <row r="4" customFormat="false" ht="30" hidden="false" customHeight="true" outlineLevel="0" collapsed="false">
      <c r="A4" s="14" t="s">
        <v>208</v>
      </c>
      <c r="B4" s="15" t="s">
        <v>209</v>
      </c>
      <c r="C4" s="15" t="s">
        <v>210</v>
      </c>
      <c r="D4" s="15" t="s">
        <v>211</v>
      </c>
      <c r="E4" s="15" t="s">
        <v>45</v>
      </c>
      <c r="F4" s="15" t="s">
        <v>351</v>
      </c>
      <c r="G4" s="15" t="s">
        <v>213</v>
      </c>
      <c r="H4" s="15" t="s">
        <v>214</v>
      </c>
      <c r="I4" s="15" t="s">
        <v>215</v>
      </c>
    </row>
    <row r="5" customFormat="false" ht="15" hidden="false" customHeight="false" outlineLevel="0" collapsed="false">
      <c r="A5" s="4" t="s">
        <v>352</v>
      </c>
      <c r="B5" s="5"/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6" t="s">
        <v>353</v>
      </c>
      <c r="B6" s="46" t="n">
        <v>95.92</v>
      </c>
      <c r="C6" s="46" t="n">
        <v>95.92</v>
      </c>
      <c r="D6" s="46" t="n">
        <v>95.92</v>
      </c>
      <c r="E6" s="46" t="n">
        <v>95.92</v>
      </c>
      <c r="F6" s="35" t="s">
        <v>354</v>
      </c>
      <c r="G6" s="35" t="s">
        <v>355</v>
      </c>
      <c r="H6" s="35" t="s">
        <v>255</v>
      </c>
    </row>
    <row r="7" customFormat="false" ht="15" hidden="false" customHeight="false" outlineLevel="0" collapsed="false">
      <c r="A7" s="6" t="s">
        <v>356</v>
      </c>
      <c r="B7" s="38" t="n">
        <v>15896.31</v>
      </c>
      <c r="C7" s="38" t="n">
        <v>18632.38</v>
      </c>
      <c r="D7" s="38" t="n">
        <v>19303.89</v>
      </c>
      <c r="E7" s="38" t="n">
        <v>21275.67</v>
      </c>
      <c r="F7" s="35" t="s">
        <v>354</v>
      </c>
      <c r="G7" s="35" t="s">
        <v>355</v>
      </c>
      <c r="H7" s="35" t="s">
        <v>255</v>
      </c>
      <c r="I7" s="35" t="s">
        <v>357</v>
      </c>
    </row>
    <row r="8" customFormat="false" ht="15" hidden="false" customHeight="false" outlineLevel="0" collapsed="false">
      <c r="A8" s="26" t="s">
        <v>358</v>
      </c>
      <c r="B8" s="45" t="n">
        <f aca="false">B6+B7</f>
        <v>15992.23</v>
      </c>
      <c r="C8" s="45" t="n">
        <f aca="false">C6+C7</f>
        <v>18728.3</v>
      </c>
      <c r="D8" s="45" t="n">
        <f aca="false">D6+D7</f>
        <v>19399.81</v>
      </c>
      <c r="E8" s="45" t="n">
        <f aca="false">E6+E7</f>
        <v>21371.59</v>
      </c>
    </row>
    <row r="9" customFormat="false" ht="15" hidden="false" customHeight="false" outlineLevel="0" collapsed="false">
      <c r="A9" s="6" t="s">
        <v>359</v>
      </c>
      <c r="B9" s="38" t="n">
        <v>453.66</v>
      </c>
      <c r="C9" s="38" t="n">
        <v>695.38</v>
      </c>
      <c r="D9" s="38" t="n">
        <v>659.24</v>
      </c>
      <c r="E9" s="38" t="n">
        <v>643.39</v>
      </c>
      <c r="F9" s="35" t="s">
        <v>354</v>
      </c>
      <c r="G9" s="35" t="s">
        <v>355</v>
      </c>
      <c r="H9" s="35" t="s">
        <v>223</v>
      </c>
      <c r="I9" s="35" t="s">
        <v>360</v>
      </c>
    </row>
    <row r="10" customFormat="false" ht="15" hidden="false" customHeight="false" outlineLevel="0" collapsed="false">
      <c r="A10" s="6" t="s">
        <v>361</v>
      </c>
      <c r="B10" s="38" t="n">
        <v>972.21</v>
      </c>
      <c r="C10" s="38" t="n">
        <v>1107.14</v>
      </c>
      <c r="D10" s="38" t="n">
        <v>863.75</v>
      </c>
      <c r="E10" s="38" t="n">
        <v>2293.26</v>
      </c>
      <c r="F10" s="35" t="s">
        <v>362</v>
      </c>
      <c r="G10" s="35" t="s">
        <v>363</v>
      </c>
      <c r="H10" s="35" t="s">
        <v>220</v>
      </c>
      <c r="I10" s="35" t="s">
        <v>364</v>
      </c>
    </row>
    <row r="11" customFormat="false" ht="15" hidden="false" customHeight="false" outlineLevel="0" collapsed="false">
      <c r="A11" s="6" t="s">
        <v>365</v>
      </c>
      <c r="B11" s="38" t="n">
        <v>960.41</v>
      </c>
      <c r="C11" s="38" t="n">
        <v>1367.24</v>
      </c>
      <c r="D11" s="38" t="n">
        <v>1426.54</v>
      </c>
      <c r="E11" s="38" t="n">
        <v>1635.67</v>
      </c>
      <c r="F11" s="35" t="s">
        <v>362</v>
      </c>
      <c r="G11" s="35" t="s">
        <v>363</v>
      </c>
      <c r="H11" s="35" t="s">
        <v>220</v>
      </c>
      <c r="I11" s="35" t="s">
        <v>366</v>
      </c>
    </row>
    <row r="12" customFormat="false" ht="15" hidden="false" customHeight="false" outlineLevel="0" collapsed="false">
      <c r="A12" s="26" t="s">
        <v>367</v>
      </c>
      <c r="B12" s="45" t="n">
        <f aca="false">B10+B11</f>
        <v>1932.62</v>
      </c>
      <c r="C12" s="45" t="n">
        <f aca="false">C10+C11</f>
        <v>2474.38</v>
      </c>
      <c r="D12" s="45" t="n">
        <f aca="false">D10+D11</f>
        <v>2290.29</v>
      </c>
      <c r="E12" s="45" t="n">
        <f aca="false">E10+E11</f>
        <v>3928.93</v>
      </c>
    </row>
    <row r="13" customFormat="false" ht="15" hidden="false" customHeight="false" outlineLevel="0" collapsed="false">
      <c r="A13" s="6" t="s">
        <v>368</v>
      </c>
      <c r="B13" s="38" t="n">
        <v>3635.44</v>
      </c>
      <c r="C13" s="38" t="n">
        <v>3831.34</v>
      </c>
      <c r="D13" s="38" t="n">
        <v>3848</v>
      </c>
      <c r="E13" s="38" t="n">
        <v>3863.04</v>
      </c>
      <c r="F13" s="35" t="s">
        <v>354</v>
      </c>
      <c r="G13" s="35" t="s">
        <v>355</v>
      </c>
      <c r="H13" s="35" t="s">
        <v>369</v>
      </c>
      <c r="I13" s="35" t="s">
        <v>370</v>
      </c>
    </row>
    <row r="14" customFormat="false" ht="15" hidden="false" customHeight="false" outlineLevel="0" collapsed="false">
      <c r="A14" s="4" t="s">
        <v>371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6" t="s">
        <v>372</v>
      </c>
      <c r="C15" s="38" t="n">
        <v>4446.2</v>
      </c>
      <c r="D15" s="38" t="n">
        <v>6787.62</v>
      </c>
      <c r="E15" s="38" t="n">
        <v>7146.23</v>
      </c>
      <c r="F15" s="35" t="s">
        <v>354</v>
      </c>
      <c r="G15" s="35" t="s">
        <v>355</v>
      </c>
      <c r="H15" s="35" t="s">
        <v>255</v>
      </c>
      <c r="I15" s="35" t="s">
        <v>373</v>
      </c>
    </row>
    <row r="16" customFormat="false" ht="15" hidden="false" customHeight="false" outlineLevel="0" collapsed="false">
      <c r="A16" s="6" t="s">
        <v>374</v>
      </c>
      <c r="C16" s="38" t="n">
        <v>1856.27</v>
      </c>
      <c r="D16" s="38" t="n">
        <v>1843.72</v>
      </c>
      <c r="E16" s="38" t="n">
        <v>2018.77</v>
      </c>
      <c r="F16" s="35" t="s">
        <v>354</v>
      </c>
      <c r="G16" s="35" t="s">
        <v>355</v>
      </c>
      <c r="H16" s="35" t="s">
        <v>255</v>
      </c>
    </row>
    <row r="17" customFormat="false" ht="15" hidden="false" customHeight="false" outlineLevel="0" collapsed="false">
      <c r="A17" s="6" t="s">
        <v>375</v>
      </c>
      <c r="B17" s="38" t="n">
        <v>1019.59</v>
      </c>
      <c r="C17" s="38" t="n">
        <v>2698.37</v>
      </c>
      <c r="D17" s="38" t="n">
        <v>1254.49</v>
      </c>
      <c r="E17" s="38" t="n">
        <v>1848.67</v>
      </c>
      <c r="F17" s="35" t="s">
        <v>354</v>
      </c>
      <c r="G17" s="35" t="s">
        <v>355</v>
      </c>
      <c r="H17" s="35" t="s">
        <v>369</v>
      </c>
    </row>
    <row r="18" customFormat="false" ht="15" hidden="false" customHeight="false" outlineLevel="0" collapsed="false">
      <c r="A18" s="6" t="s">
        <v>376</v>
      </c>
      <c r="B18" s="38" t="n">
        <v>1564.71</v>
      </c>
      <c r="C18" s="38" t="n">
        <v>1384.51</v>
      </c>
      <c r="D18" s="38" t="n">
        <v>1479.79</v>
      </c>
      <c r="E18" s="38" t="n">
        <v>775.91</v>
      </c>
      <c r="F18" s="35" t="s">
        <v>354</v>
      </c>
      <c r="G18" s="35" t="s">
        <v>355</v>
      </c>
      <c r="H18" s="35" t="s">
        <v>369</v>
      </c>
      <c r="I18" s="35" t="s">
        <v>377</v>
      </c>
    </row>
    <row r="19" customFormat="false" ht="15" hidden="false" customHeight="false" outlineLevel="0" collapsed="false">
      <c r="A19" s="6" t="s">
        <v>378</v>
      </c>
      <c r="C19" s="38" t="n">
        <v>583.13</v>
      </c>
      <c r="D19" s="38" t="n">
        <v>608</v>
      </c>
      <c r="E19" s="38" t="n">
        <v>656.09</v>
      </c>
      <c r="F19" s="35" t="s">
        <v>354</v>
      </c>
      <c r="G19" s="35" t="s">
        <v>355</v>
      </c>
      <c r="H19" s="35" t="s">
        <v>255</v>
      </c>
      <c r="I19" s="35" t="s">
        <v>379</v>
      </c>
    </row>
    <row r="20" customFormat="false" ht="15" hidden="false" customHeight="false" outlineLevel="0" collapsed="false">
      <c r="A20" s="6" t="s">
        <v>380</v>
      </c>
      <c r="B20" s="38" t="n">
        <v>2697</v>
      </c>
      <c r="C20" s="38" t="n">
        <v>3203.41</v>
      </c>
      <c r="D20" s="38" t="n">
        <v>3244.96</v>
      </c>
      <c r="E20" s="38" t="n">
        <v>6285.83</v>
      </c>
      <c r="F20" s="35" t="s">
        <v>354</v>
      </c>
      <c r="G20" s="35" t="s">
        <v>355</v>
      </c>
      <c r="H20" s="35" t="s">
        <v>369</v>
      </c>
    </row>
    <row r="21" customFormat="false" ht="15" hidden="false" customHeight="false" outlineLevel="0" collapsed="false">
      <c r="A21" s="6" t="s">
        <v>381</v>
      </c>
      <c r="B21" s="38" t="n">
        <v>6210.64</v>
      </c>
      <c r="C21" s="38" t="n">
        <v>5923.41</v>
      </c>
      <c r="D21" s="38" t="n">
        <v>6719.27</v>
      </c>
      <c r="E21" s="38" t="n">
        <v>5743.69</v>
      </c>
      <c r="F21" s="35" t="s">
        <v>354</v>
      </c>
      <c r="G21" s="35" t="s">
        <v>355</v>
      </c>
      <c r="H21" s="35" t="s">
        <v>369</v>
      </c>
    </row>
    <row r="22" customFormat="false" ht="15" hidden="false" customHeight="false" outlineLevel="0" collapsed="false">
      <c r="A22" s="6" t="s">
        <v>382</v>
      </c>
      <c r="B22" s="38" t="n">
        <v>4636.94</v>
      </c>
      <c r="C22" s="38" t="n">
        <v>4889.05</v>
      </c>
      <c r="D22" s="38" t="n">
        <v>4313.65</v>
      </c>
      <c r="E22" s="38" t="n">
        <v>4461.8</v>
      </c>
      <c r="F22" s="35" t="s">
        <v>354</v>
      </c>
      <c r="G22" s="35" t="s">
        <v>355</v>
      </c>
      <c r="H22" s="35" t="s">
        <v>369</v>
      </c>
    </row>
    <row r="23" customFormat="false" ht="15" hidden="false" customHeight="false" outlineLevel="0" collapsed="false">
      <c r="A23" s="6" t="s">
        <v>383</v>
      </c>
      <c r="B23" s="38" t="n">
        <v>843.82</v>
      </c>
      <c r="C23" s="38" t="n">
        <v>1084.01</v>
      </c>
      <c r="D23" s="38" t="n">
        <v>781.98</v>
      </c>
      <c r="E23" s="38" t="n">
        <v>1073.68</v>
      </c>
      <c r="F23" s="35" t="s">
        <v>354</v>
      </c>
      <c r="G23" s="35" t="s">
        <v>355</v>
      </c>
      <c r="H23" s="35" t="s">
        <v>369</v>
      </c>
      <c r="I23" s="35" t="s">
        <v>384</v>
      </c>
    </row>
    <row r="24" customFormat="false" ht="15" hidden="false" customHeight="false" outlineLevel="0" collapsed="false">
      <c r="A24" s="26" t="s">
        <v>385</v>
      </c>
      <c r="B24" s="72" t="n">
        <v>25779.33</v>
      </c>
      <c r="C24" s="72" t="n">
        <v>29924.09</v>
      </c>
      <c r="D24" s="72" t="n">
        <v>30371.37</v>
      </c>
      <c r="E24" s="72" t="n">
        <v>34534.49</v>
      </c>
      <c r="F24" s="35" t="s">
        <v>354</v>
      </c>
      <c r="G24" s="35" t="s">
        <v>355</v>
      </c>
      <c r="H24" s="35" t="s">
        <v>369</v>
      </c>
      <c r="I24" s="35" t="s">
        <v>386</v>
      </c>
    </row>
    <row r="26" customFormat="false" ht="15" hidden="false" customHeight="false" outlineLevel="0" collapsed="false">
      <c r="A26" s="4" t="s">
        <v>387</v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6" t="s">
        <v>217</v>
      </c>
      <c r="B27" s="59" t="n">
        <f aca="false">Historicals!B6</f>
        <v>34488.59</v>
      </c>
      <c r="C27" s="59" t="n">
        <f aca="false">Historicals!C6</f>
        <v>35494.73</v>
      </c>
      <c r="D27" s="59" t="n">
        <f aca="false">Historicals!D6</f>
        <v>33905.62</v>
      </c>
      <c r="E27" s="59" t="n">
        <f aca="false">Historicals!E6</f>
        <v>35583.54</v>
      </c>
    </row>
    <row r="28" customFormat="false" ht="15" hidden="false" customHeight="false" outlineLevel="0" collapsed="false">
      <c r="A28" s="6" t="s">
        <v>388</v>
      </c>
      <c r="B28" s="59" t="n">
        <f aca="false">Historicals!B10</f>
        <v>21156.5</v>
      </c>
      <c r="C28" s="59" t="n">
        <f aca="false">Historicals!C10</f>
        <v>20090.21</v>
      </c>
      <c r="D28" s="59" t="n">
        <f aca="false">Historicals!D10</f>
        <v>19515.78</v>
      </c>
      <c r="E28" s="59" t="n">
        <f aca="false">Historicals!E10</f>
        <v>20001.78</v>
      </c>
    </row>
    <row r="29" customFormat="false" ht="15" hidden="false" customHeight="false" outlineLevel="0" collapsed="false">
      <c r="A29" s="6" t="s">
        <v>173</v>
      </c>
      <c r="B29" s="73" t="n">
        <f aca="false">B21/B27*365</f>
        <v>65.7285090518343</v>
      </c>
      <c r="C29" s="73" t="n">
        <f aca="false">C21/C27*365</f>
        <v>60.9117085832178</v>
      </c>
      <c r="D29" s="73" t="n">
        <f aca="false">D21/D27*365</f>
        <v>72.334130742927</v>
      </c>
      <c r="E29" s="73" t="n">
        <f aca="false">E21/E27*365</f>
        <v>58.9161969270061</v>
      </c>
    </row>
    <row r="30" customFormat="false" ht="15" hidden="false" customHeight="false" outlineLevel="0" collapsed="false">
      <c r="A30" s="6" t="s">
        <v>389</v>
      </c>
      <c r="B30" s="73" t="n">
        <f aca="false">B22/B27*365</f>
        <v>49.0737110447252</v>
      </c>
      <c r="C30" s="73" t="n">
        <f aca="false">C22/C27*365</f>
        <v>50.2751605660897</v>
      </c>
      <c r="D30" s="73" t="n">
        <f aca="false">D22/D27*365</f>
        <v>46.4372056903841</v>
      </c>
      <c r="E30" s="73" t="n">
        <f aca="false">E22/E27*365</f>
        <v>45.767144022208</v>
      </c>
    </row>
    <row r="31" customFormat="false" ht="15" hidden="false" customHeight="false" outlineLevel="0" collapsed="false">
      <c r="A31" s="6" t="s">
        <v>390</v>
      </c>
      <c r="B31" s="73" t="n">
        <f aca="false">B13/B27*365</f>
        <v>38.4746259560046</v>
      </c>
      <c r="C31" s="73" t="n">
        <f aca="false">C13/C27*365</f>
        <v>39.3984994392125</v>
      </c>
      <c r="D31" s="73" t="n">
        <f aca="false">D13/D27*365</f>
        <v>41.4244010285021</v>
      </c>
      <c r="E31" s="73" t="n">
        <f aca="false">E13/E27*365</f>
        <v>39.6253323868283</v>
      </c>
    </row>
    <row r="32" customFormat="false" ht="15" hidden="false" customHeight="false" outlineLevel="0" collapsed="false">
      <c r="A32" s="26" t="s">
        <v>391</v>
      </c>
      <c r="B32" s="45" t="n">
        <f aca="false">B21+B22-B13</f>
        <v>7212.14</v>
      </c>
      <c r="C32" s="45" t="n">
        <f aca="false">C21+C22-C13</f>
        <v>6981.12</v>
      </c>
      <c r="D32" s="45" t="n">
        <f aca="false">D21+D22-D13</f>
        <v>7184.92</v>
      </c>
      <c r="E32" s="45" t="n">
        <f aca="false">E21+E22-E13</f>
        <v>6342.45</v>
      </c>
    </row>
    <row r="33" customFormat="false" ht="15" hidden="false" customHeight="false" outlineLevel="0" collapsed="false">
      <c r="A33" s="26" t="s">
        <v>392</v>
      </c>
      <c r="B33" s="74" t="n">
        <f aca="false">B32/B27*365</f>
        <v>76.3275941405549</v>
      </c>
      <c r="C33" s="74" t="n">
        <f aca="false">C32/C27*365</f>
        <v>71.788369710095</v>
      </c>
      <c r="D33" s="74" t="n">
        <f aca="false">D32/D27*365</f>
        <v>77.346935404809</v>
      </c>
      <c r="E33" s="74" t="n">
        <f aca="false">E32/E27*365</f>
        <v>65.0580085623859</v>
      </c>
    </row>
    <row r="34" customFormat="false" ht="15" hidden="false" customHeight="false" outlineLevel="0" collapsed="false">
      <c r="A34" s="6" t="s">
        <v>393</v>
      </c>
      <c r="B34" s="73" t="n">
        <f aca="false">B21/B28*365</f>
        <v>107.148327937041</v>
      </c>
      <c r="C34" s="73" t="n">
        <f aca="false">C21/C28*365</f>
        <v>107.616826802706</v>
      </c>
      <c r="D34" s="73" t="n">
        <f aca="false">D21/D28*365</f>
        <v>125.669255853468</v>
      </c>
      <c r="E34" s="73" t="n">
        <f aca="false">E21/E28*365</f>
        <v>104.813014141741</v>
      </c>
      <c r="I34" s="35" t="s">
        <v>394</v>
      </c>
    </row>
    <row r="36" customFormat="false" ht="15" hidden="false" customHeight="false" outlineLevel="0" collapsed="false">
      <c r="A36" s="4" t="s">
        <v>395</v>
      </c>
      <c r="B36" s="5"/>
      <c r="C36" s="5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6" t="s">
        <v>396</v>
      </c>
      <c r="B37" s="59" t="n">
        <f aca="false">Historicals!B14-Historicals!B17</f>
        <v>5401.82</v>
      </c>
      <c r="C37" s="59" t="n">
        <f aca="false">Historicals!C14-Historicals!C17</f>
        <v>6731.98</v>
      </c>
      <c r="D37" s="59" t="n">
        <f aca="false">Historicals!D14-Historicals!D17</f>
        <v>4979.87</v>
      </c>
      <c r="E37" s="59" t="n">
        <f aca="false">Historicals!E14-Historicals!E17</f>
        <v>5467.07</v>
      </c>
    </row>
    <row r="38" customFormat="false" ht="15" hidden="false" customHeight="false" outlineLevel="0" collapsed="false">
      <c r="A38" s="6" t="s">
        <v>397</v>
      </c>
      <c r="B38" s="44" t="n">
        <f aca="false">B8+B9+B12</f>
        <v>18378.51</v>
      </c>
      <c r="C38" s="44" t="n">
        <f aca="false">C8+C9+C12</f>
        <v>21898.06</v>
      </c>
      <c r="D38" s="44" t="n">
        <f aca="false">D8+D9+D12</f>
        <v>22349.34</v>
      </c>
      <c r="E38" s="44" t="n">
        <f aca="false">E8+E9+E12</f>
        <v>25943.91</v>
      </c>
    </row>
    <row r="39" customFormat="false" ht="15" hidden="false" customHeight="false" outlineLevel="0" collapsed="false">
      <c r="A39" s="26" t="s">
        <v>398</v>
      </c>
      <c r="C39" s="50" t="n">
        <f aca="false">Historicals!C24/AVERAGE(B8:C8)</f>
        <v>0.314524576669769</v>
      </c>
      <c r="D39" s="50" t="n">
        <f aca="false">Historicals!D24/AVERAGE(C8:D8)</f>
        <v>0.192363586865439</v>
      </c>
      <c r="E39" s="50" t="n">
        <f aca="false">Historicals!E24/AVERAGE(D8:E8)</f>
        <v>0.212175691783947</v>
      </c>
    </row>
    <row r="40" customFormat="false" ht="15" hidden="false" customHeight="false" outlineLevel="0" collapsed="false">
      <c r="A40" s="26" t="s">
        <v>399</v>
      </c>
      <c r="C40" s="50" t="n">
        <f aca="false">C37/AVERAGE(B38:C38)</f>
        <v>0.334287651604891</v>
      </c>
      <c r="D40" s="50" t="n">
        <f aca="false">D37/AVERAGE(C38:D38)</f>
        <v>0.225092095806759</v>
      </c>
      <c r="E40" s="50" t="n">
        <f aca="false">E37/AVERAGE(D38:E38)</f>
        <v>0.226411351482868</v>
      </c>
      <c r="I40" s="35" t="s">
        <v>400</v>
      </c>
    </row>
    <row r="41" customFormat="false" ht="15" hidden="false" customHeight="false" outlineLevel="0" collapsed="false">
      <c r="A41" s="6" t="s">
        <v>401</v>
      </c>
      <c r="B41" s="44" t="n">
        <f aca="false">B18+B20+B23</f>
        <v>5105.53</v>
      </c>
      <c r="C41" s="44" t="n">
        <f aca="false">C18+C20+C23</f>
        <v>5671.93</v>
      </c>
      <c r="D41" s="44" t="n">
        <f aca="false">D18+D20+D23</f>
        <v>5506.73</v>
      </c>
      <c r="E41" s="44" t="n">
        <f aca="false">E18+E20+E23</f>
        <v>8135.42</v>
      </c>
    </row>
    <row r="42" customFormat="false" ht="15" hidden="false" customHeight="false" outlineLevel="0" collapsed="false">
      <c r="A42" s="26" t="s">
        <v>402</v>
      </c>
      <c r="B42" s="45" t="n">
        <f aca="false">B12-B41</f>
        <v>-3172.91</v>
      </c>
      <c r="C42" s="45" t="n">
        <f aca="false">C12-C41</f>
        <v>-3197.55</v>
      </c>
      <c r="D42" s="45" t="n">
        <f aca="false">D12-D41</f>
        <v>-3216.44</v>
      </c>
      <c r="E42" s="45" t="n">
        <f aca="false">E12-E41</f>
        <v>-4206.49</v>
      </c>
    </row>
    <row r="43" customFormat="false" ht="15" hidden="false" customHeight="false" outlineLevel="0" collapsed="false">
      <c r="A43" s="6" t="s">
        <v>403</v>
      </c>
      <c r="B43" s="75" t="n">
        <f aca="false">B12/B8</f>
        <v>0.120847436536368</v>
      </c>
      <c r="C43" s="75" t="n">
        <f aca="false">C12/C8</f>
        <v>0.132119840028193</v>
      </c>
      <c r="D43" s="75" t="n">
        <f aca="false">D12/D8</f>
        <v>0.118057341798708</v>
      </c>
      <c r="E43" s="75" t="n">
        <f aca="false">E12/E8</f>
        <v>0.183838918863781</v>
      </c>
    </row>
    <row r="44" customFormat="false" ht="15" hidden="false" customHeight="false" outlineLevel="0" collapsed="false">
      <c r="A44" s="6" t="s">
        <v>404</v>
      </c>
      <c r="B44" s="76" t="n">
        <f aca="false">B8/Historicals!B25</f>
        <v>166.724666388657</v>
      </c>
      <c r="C44" s="76" t="n">
        <f aca="false">C8/Historicals!C25</f>
        <v>195.249165971643</v>
      </c>
      <c r="D44" s="76" t="n">
        <f aca="false">D8/Historicals!D25</f>
        <v>202.249895746455</v>
      </c>
      <c r="E44" s="76" t="n">
        <f aca="false">E8/Historicals!E25</f>
        <v>222.80640116764</v>
      </c>
      <c r="F44" s="35" t="s">
        <v>228</v>
      </c>
      <c r="G44" s="35" t="s">
        <v>229</v>
      </c>
      <c r="H44" s="35" t="s">
        <v>405</v>
      </c>
      <c r="I44" s="35" t="s">
        <v>406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"/>
    <col collapsed="false" customWidth="true" hidden="false" outlineLevel="0" max="6" min="6" style="0" width="6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33" t="s">
        <v>407</v>
      </c>
    </row>
    <row r="2" customFormat="false" ht="15" hidden="false" customHeight="false" outlineLevel="0" collapsed="false">
      <c r="A2" s="3" t="s">
        <v>408</v>
      </c>
    </row>
    <row r="3" customFormat="false" ht="15" hidden="false" customHeight="false" outlineLevel="0" collapsed="false">
      <c r="B3" s="43" t="s">
        <v>207</v>
      </c>
      <c r="C3" s="43"/>
      <c r="D3" s="43"/>
      <c r="E3" s="43"/>
    </row>
    <row r="4" customFormat="false" ht="30" hidden="false" customHeight="true" outlineLevel="0" collapsed="false">
      <c r="A4" s="14" t="s">
        <v>208</v>
      </c>
      <c r="B4" s="15" t="s">
        <v>209</v>
      </c>
      <c r="C4" s="15" t="s">
        <v>210</v>
      </c>
      <c r="D4" s="15" t="s">
        <v>211</v>
      </c>
      <c r="E4" s="15" t="s">
        <v>45</v>
      </c>
      <c r="F4" s="15" t="s">
        <v>351</v>
      </c>
      <c r="G4" s="15" t="s">
        <v>213</v>
      </c>
      <c r="H4" s="15" t="s">
        <v>214</v>
      </c>
      <c r="I4" s="15" t="s">
        <v>215</v>
      </c>
    </row>
    <row r="5" customFormat="false" ht="15" hidden="false" customHeight="false" outlineLevel="0" collapsed="false">
      <c r="A5" s="6" t="s">
        <v>409</v>
      </c>
      <c r="B5" s="38" t="n">
        <v>4193</v>
      </c>
      <c r="C5" s="38" t="n">
        <v>6103.6</v>
      </c>
      <c r="D5" s="38" t="n">
        <v>4423.96</v>
      </c>
      <c r="E5" s="38" t="n">
        <v>7088.18</v>
      </c>
      <c r="F5" s="35" t="s">
        <v>410</v>
      </c>
      <c r="G5" s="35" t="s">
        <v>411</v>
      </c>
      <c r="H5" s="35" t="s">
        <v>369</v>
      </c>
      <c r="I5" s="35" t="s">
        <v>412</v>
      </c>
    </row>
    <row r="6" customFormat="false" ht="15" hidden="false" customHeight="false" outlineLevel="0" collapsed="false">
      <c r="A6" s="6" t="s">
        <v>413</v>
      </c>
      <c r="B6" s="38" t="n">
        <v>1419</v>
      </c>
      <c r="C6" s="38" t="n">
        <v>2199.01</v>
      </c>
      <c r="D6" s="38" t="n">
        <v>1805.32</v>
      </c>
      <c r="E6" s="38" t="n">
        <v>1467.02</v>
      </c>
      <c r="F6" s="35" t="s">
        <v>410</v>
      </c>
      <c r="G6" s="35" t="s">
        <v>414</v>
      </c>
      <c r="H6" s="35" t="s">
        <v>369</v>
      </c>
      <c r="I6" s="35" t="s">
        <v>415</v>
      </c>
    </row>
    <row r="7" customFormat="false" ht="15" hidden="false" customHeight="false" outlineLevel="0" collapsed="false">
      <c r="A7" s="6" t="s">
        <v>416</v>
      </c>
      <c r="C7" s="38" t="n">
        <v>297.07</v>
      </c>
      <c r="D7" s="38" t="n">
        <v>24.75</v>
      </c>
      <c r="E7" s="38" t="n">
        <v>20.3</v>
      </c>
      <c r="F7" s="35" t="s">
        <v>410</v>
      </c>
      <c r="G7" s="35" t="s">
        <v>414</v>
      </c>
      <c r="H7" s="35" t="s">
        <v>255</v>
      </c>
    </row>
    <row r="8" customFormat="false" ht="15" hidden="false" customHeight="false" outlineLevel="0" collapsed="false">
      <c r="A8" s="6" t="s">
        <v>417</v>
      </c>
      <c r="B8" s="38" t="n">
        <v>-1282</v>
      </c>
      <c r="C8" s="38" t="n">
        <v>-2517.63</v>
      </c>
      <c r="D8" s="38" t="n">
        <v>-874.12</v>
      </c>
      <c r="E8" s="38" t="n">
        <v>-1334.07</v>
      </c>
      <c r="F8" s="35" t="s">
        <v>410</v>
      </c>
      <c r="G8" s="35" t="s">
        <v>418</v>
      </c>
      <c r="H8" s="35" t="s">
        <v>369</v>
      </c>
      <c r="I8" s="35" t="s">
        <v>419</v>
      </c>
    </row>
    <row r="9" customFormat="false" ht="15" hidden="false" customHeight="false" outlineLevel="0" collapsed="false">
      <c r="A9" s="6" t="s">
        <v>420</v>
      </c>
      <c r="B9" s="38" t="n">
        <v>-2140</v>
      </c>
      <c r="C9" s="38" t="n">
        <v>-2982.5</v>
      </c>
      <c r="D9" s="38" t="n">
        <v>-3752.58</v>
      </c>
      <c r="E9" s="38" t="n">
        <v>-2376.51</v>
      </c>
      <c r="F9" s="35" t="s">
        <v>410</v>
      </c>
      <c r="G9" s="35" t="s">
        <v>421</v>
      </c>
      <c r="H9" s="35" t="s">
        <v>369</v>
      </c>
    </row>
    <row r="10" customFormat="false" ht="15" hidden="false" customHeight="false" outlineLevel="0" collapsed="false">
      <c r="A10" s="26" t="s">
        <v>422</v>
      </c>
      <c r="B10" s="45" t="n">
        <f aca="false">SUM(B5,B8,B9)</f>
        <v>771</v>
      </c>
      <c r="C10" s="45" t="n">
        <f aca="false">SUM(C5,C8,C9)</f>
        <v>603.47</v>
      </c>
      <c r="D10" s="45" t="n">
        <f aca="false">SUM(D5,D8,D9)</f>
        <v>-202.74</v>
      </c>
      <c r="E10" s="45" t="n">
        <f aca="false">SUM(E5,E8,E9)</f>
        <v>3377.6</v>
      </c>
    </row>
    <row r="11" customFormat="false" ht="15" hidden="false" customHeight="false" outlineLevel="0" collapsed="false">
      <c r="A11" s="26" t="s">
        <v>423</v>
      </c>
      <c r="B11" s="45" t="n">
        <f aca="false">B5-B6</f>
        <v>2774</v>
      </c>
      <c r="C11" s="45" t="n">
        <f aca="false">C5-C6</f>
        <v>3904.59</v>
      </c>
      <c r="D11" s="45" t="n">
        <f aca="false">D5-D6</f>
        <v>2618.64</v>
      </c>
      <c r="E11" s="45" t="n">
        <f aca="false">E5-E6</f>
        <v>5621.16</v>
      </c>
    </row>
    <row r="12" customFormat="false" ht="15" hidden="false" customHeight="false" outlineLevel="0" collapsed="false">
      <c r="A12" s="6" t="s">
        <v>424</v>
      </c>
      <c r="C12" s="38" t="n">
        <v>285.63</v>
      </c>
      <c r="D12" s="38" t="n">
        <v>324.62</v>
      </c>
      <c r="E12" s="38" t="n">
        <v>339.78</v>
      </c>
      <c r="F12" s="35" t="s">
        <v>410</v>
      </c>
      <c r="G12" s="35" t="s">
        <v>421</v>
      </c>
      <c r="H12" s="35" t="s">
        <v>255</v>
      </c>
    </row>
    <row r="13" customFormat="false" ht="15" hidden="false" customHeight="false" outlineLevel="0" collapsed="false">
      <c r="A13" s="26" t="s">
        <v>425</v>
      </c>
      <c r="C13" s="45" t="n">
        <f aca="false">C11-C12</f>
        <v>3618.96</v>
      </c>
      <c r="D13" s="45" t="n">
        <f aca="false">D11-D12</f>
        <v>2294.02</v>
      </c>
      <c r="E13" s="45" t="n">
        <f aca="false">E11-E12</f>
        <v>5281.38</v>
      </c>
      <c r="I13" s="35" t="s">
        <v>426</v>
      </c>
    </row>
    <row r="14" customFormat="false" ht="15" hidden="false" customHeight="false" outlineLevel="0" collapsed="false">
      <c r="A14" s="6" t="s">
        <v>427</v>
      </c>
      <c r="C14" s="38" t="n">
        <v>2550.88</v>
      </c>
      <c r="D14" s="38" t="n">
        <v>3140.21</v>
      </c>
      <c r="E14" s="38" t="n">
        <v>2425.38</v>
      </c>
      <c r="F14" s="35" t="s">
        <v>410</v>
      </c>
      <c r="G14" s="35" t="s">
        <v>421</v>
      </c>
      <c r="H14" s="35" t="s">
        <v>255</v>
      </c>
      <c r="I14" s="35" t="s">
        <v>428</v>
      </c>
    </row>
    <row r="15" customFormat="false" ht="15" hidden="false" customHeight="false" outlineLevel="0" collapsed="false">
      <c r="A15" s="6" t="s">
        <v>429</v>
      </c>
      <c r="B15" s="49" t="n">
        <f aca="false">B5/Historicals!B14</f>
        <v>0.669825426847971</v>
      </c>
      <c r="C15" s="49" t="n">
        <f aca="false">C5/Historicals!C14</f>
        <v>0.804695595769534</v>
      </c>
      <c r="D15" s="49" t="n">
        <f aca="false">D5/Historicals!D14</f>
        <v>0.736564322592783</v>
      </c>
      <c r="E15" s="49" t="n">
        <f aca="false">E5/Historicals!E14</f>
        <v>1.05858194243659</v>
      </c>
    </row>
    <row r="16" customFormat="false" ht="15" hidden="false" customHeight="false" outlineLevel="0" collapsed="false">
      <c r="A16" s="6" t="s">
        <v>430</v>
      </c>
      <c r="B16" s="49" t="n">
        <f aca="false">B11/Historicals!B24</f>
        <v>0.675522653386746</v>
      </c>
      <c r="C16" s="49" t="n">
        <f aca="false">C11/Historicals!C24</f>
        <v>0.715096250524245</v>
      </c>
      <c r="D16" s="49" t="n">
        <f aca="false">D11/Historicals!D24</f>
        <v>0.71406483912926</v>
      </c>
      <c r="E16" s="49" t="n">
        <f aca="false">E11/Historicals!E24</f>
        <v>1.2995850046817</v>
      </c>
    </row>
    <row r="17" customFormat="false" ht="15" hidden="false" customHeight="false" outlineLevel="0" collapsed="false">
      <c r="A17" s="6" t="s">
        <v>431</v>
      </c>
      <c r="B17" s="49" t="n">
        <f aca="false">B6/Historicals!B6</f>
        <v>0.0411440421310352</v>
      </c>
      <c r="C17" s="49" t="n">
        <f aca="false">C6/Historicals!C6</f>
        <v>0.0619531406493302</v>
      </c>
      <c r="D17" s="49" t="n">
        <f aca="false">D6/Historicals!D6</f>
        <v>0.053245450164309</v>
      </c>
      <c r="E17" s="49" t="n">
        <f aca="false">E6/Historicals!E6</f>
        <v>0.0412274888895259</v>
      </c>
    </row>
    <row r="18" customFormat="false" ht="15" hidden="false" customHeight="false" outlineLevel="0" collapsed="false">
      <c r="A18" s="6" t="s">
        <v>432</v>
      </c>
      <c r="B18" s="75" t="n">
        <f aca="false">B6/Historicals!B17</f>
        <v>1.65380760355236</v>
      </c>
      <c r="C18" s="75" t="n">
        <f aca="false">C6/Historicals!C17</f>
        <v>2.57797186400938</v>
      </c>
      <c r="D18" s="75" t="n">
        <f aca="false">D6/Historicals!D17</f>
        <v>1.75898824950796</v>
      </c>
      <c r="E18" s="75" t="n">
        <f aca="false">E6/Historicals!E17</f>
        <v>1.19381535582048</v>
      </c>
    </row>
    <row r="19" customFormat="false" ht="15" hidden="false" customHeight="false" outlineLevel="0" collapsed="false">
      <c r="A19" s="6" t="s">
        <v>433</v>
      </c>
      <c r="B19" s="48" t="n">
        <v>25.65</v>
      </c>
      <c r="C19" s="48" t="n">
        <v>33.3</v>
      </c>
      <c r="D19" s="48" t="n">
        <v>24.8</v>
      </c>
      <c r="E19" s="48" t="n">
        <v>27.5</v>
      </c>
      <c r="F19" s="35" t="s">
        <v>228</v>
      </c>
      <c r="G19" s="35" t="s">
        <v>229</v>
      </c>
      <c r="H19" s="35" t="s">
        <v>255</v>
      </c>
      <c r="I19" s="35" t="s">
        <v>434</v>
      </c>
    </row>
    <row r="20" customFormat="false" ht="15" hidden="false" customHeight="false" outlineLevel="0" collapsed="false">
      <c r="A20" s="6" t="s">
        <v>435</v>
      </c>
      <c r="B20" s="49" t="n">
        <f aca="false">B19/Historicals!B27</f>
        <v>0.599299065420561</v>
      </c>
      <c r="C20" s="49" t="n">
        <f aca="false">C19/Historicals!C27</f>
        <v>0.584723441615452</v>
      </c>
      <c r="D20" s="49" t="n">
        <f aca="false">D19/Historicals!D27</f>
        <v>0.648366013071896</v>
      </c>
      <c r="E20" s="49" t="n">
        <f aca="false">E19/Historicals!E27</f>
        <v>0.609485815602837</v>
      </c>
      <c r="F20" s="35" t="s">
        <v>228</v>
      </c>
      <c r="G20" s="35" t="s">
        <v>229</v>
      </c>
      <c r="H20" s="35" t="s">
        <v>405</v>
      </c>
      <c r="I20" s="35" t="s">
        <v>436</v>
      </c>
    </row>
    <row r="21" customFormat="false" ht="15" hidden="false" customHeight="false" outlineLevel="0" collapsed="false">
      <c r="A21" s="6" t="s">
        <v>437</v>
      </c>
      <c r="C21" s="38" t="n">
        <v>603.47</v>
      </c>
      <c r="D21" s="38" t="n">
        <v>-202.74</v>
      </c>
      <c r="E21" s="38" t="n">
        <v>3377.6</v>
      </c>
      <c r="F21" s="35" t="s">
        <v>410</v>
      </c>
      <c r="G21" s="35" t="s">
        <v>421</v>
      </c>
      <c r="H21" s="35" t="s">
        <v>255</v>
      </c>
    </row>
  </sheetData>
  <mergeCells count="1"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  <col collapsed="false" customWidth="true" hidden="false" outlineLevel="0" max="16" min="15" style="0" width="10"/>
  </cols>
  <sheetData>
    <row r="1" customFormat="false" ht="17.35" hidden="false" customHeight="false" outlineLevel="0" collapsed="false">
      <c r="A1" s="33" t="s">
        <v>438</v>
      </c>
    </row>
    <row r="2" customFormat="false" ht="15" hidden="false" customHeight="false" outlineLevel="0" collapsed="false">
      <c r="A2" s="3" t="s">
        <v>439</v>
      </c>
    </row>
    <row r="4" customFormat="false" ht="15" hidden="false" customHeight="false" outlineLevel="0" collapsed="false">
      <c r="A4" s="4" t="s">
        <v>440</v>
      </c>
      <c r="B4" s="5"/>
      <c r="C4" s="5"/>
      <c r="D4" s="5"/>
      <c r="E4" s="5"/>
      <c r="F4" s="5"/>
      <c r="G4" s="5"/>
      <c r="H4" s="5"/>
    </row>
    <row r="5" customFormat="false" ht="30" hidden="false" customHeight="true" outlineLevel="0" collapsed="false">
      <c r="A5" s="14" t="s">
        <v>441</v>
      </c>
      <c r="B5" s="15" t="s">
        <v>442</v>
      </c>
      <c r="C5" s="15" t="s">
        <v>443</v>
      </c>
      <c r="D5" s="15" t="s">
        <v>444</v>
      </c>
      <c r="E5" s="15" t="s">
        <v>445</v>
      </c>
      <c r="F5" s="15" t="s">
        <v>446</v>
      </c>
    </row>
    <row r="6" customFormat="false" ht="15" hidden="false" customHeight="false" outlineLevel="0" collapsed="false">
      <c r="A6" s="6" t="s">
        <v>447</v>
      </c>
      <c r="B6" s="38" t="n">
        <v>295428</v>
      </c>
      <c r="C6" s="38" t="n">
        <v>3030.6</v>
      </c>
      <c r="D6" s="77" t="n">
        <f aca="false">B6/C6</f>
        <v>97.4816867946941</v>
      </c>
      <c r="E6" s="44" t="n">
        <f aca="false">Historicals!B24</f>
        <v>4106.45</v>
      </c>
      <c r="F6" s="77" t="n">
        <f aca="false">B6/E6</f>
        <v>71.9424320276638</v>
      </c>
      <c r="H6" s="78" t="s">
        <v>448</v>
      </c>
    </row>
    <row r="7" customFormat="false" ht="15" hidden="false" customHeight="false" outlineLevel="0" collapsed="false">
      <c r="A7" s="6" t="s">
        <v>449</v>
      </c>
      <c r="B7" s="59" t="n">
        <f aca="false">Historicals!B55</f>
        <v>264897</v>
      </c>
      <c r="C7" s="59" t="n">
        <f aca="false">Historicals!B24</f>
        <v>4106.45</v>
      </c>
      <c r="D7" s="77" t="n">
        <f aca="false">B7/C7</f>
        <v>64.5075430116037</v>
      </c>
      <c r="E7" s="59" t="n">
        <f aca="false">Historicals!C24</f>
        <v>5460.23</v>
      </c>
      <c r="F7" s="77" t="n">
        <f aca="false">B7/E7</f>
        <v>48.5138904405125</v>
      </c>
    </row>
    <row r="8" customFormat="false" ht="15" hidden="false" customHeight="false" outlineLevel="0" collapsed="false">
      <c r="A8" s="6" t="s">
        <v>450</v>
      </c>
      <c r="B8" s="59" t="n">
        <f aca="false">Historicals!C55</f>
        <v>273060</v>
      </c>
      <c r="C8" s="59" t="n">
        <f aca="false">Historicals!C24</f>
        <v>5460.23</v>
      </c>
      <c r="D8" s="77" t="n">
        <f aca="false">B8/C8</f>
        <v>50.0088824097153</v>
      </c>
      <c r="E8" s="59" t="n">
        <f aca="false">Historicals!D24</f>
        <v>3667.23</v>
      </c>
      <c r="F8" s="77" t="n">
        <f aca="false">B8/E8</f>
        <v>74.4594694087908</v>
      </c>
    </row>
    <row r="9" customFormat="false" ht="15" hidden="false" customHeight="false" outlineLevel="0" collapsed="false">
      <c r="A9" s="6" t="s">
        <v>451</v>
      </c>
      <c r="B9" s="59" t="n">
        <f aca="false">Historicals!D55</f>
        <v>224232</v>
      </c>
      <c r="C9" s="59" t="n">
        <f aca="false">Historicals!D24</f>
        <v>3667.23</v>
      </c>
      <c r="D9" s="77" t="n">
        <f aca="false">B9/C9</f>
        <v>61.1447877553357</v>
      </c>
      <c r="E9" s="59" t="n">
        <f aca="false">Historicals!E24</f>
        <v>4325.35</v>
      </c>
      <c r="F9" s="77" t="n">
        <f aca="false">B9/E9</f>
        <v>51.8413538788768</v>
      </c>
    </row>
    <row r="10" customFormat="false" ht="15" hidden="false" customHeight="false" outlineLevel="0" collapsed="false">
      <c r="A10" s="6" t="s">
        <v>452</v>
      </c>
      <c r="B10" s="59" t="n">
        <f aca="false">Historicals!E55</f>
        <v>207618</v>
      </c>
      <c r="C10" s="59" t="n">
        <f aca="false">Historicals!E24</f>
        <v>4325.35</v>
      </c>
      <c r="D10" s="77" t="n">
        <f aca="false">B10/C10</f>
        <v>48.000277434196</v>
      </c>
    </row>
    <row r="11" customFormat="false" ht="15" hidden="false" customHeight="false" outlineLevel="0" collapsed="false">
      <c r="A11" s="26" t="s">
        <v>453</v>
      </c>
      <c r="B11" s="79" t="n">
        <f aca="false">AVERAGE(D8:D10)</f>
        <v>53.0513158664157</v>
      </c>
      <c r="C11" s="79" t="n">
        <f aca="false">MEDIAN(D8:D10)</f>
        <v>50.0088824097153</v>
      </c>
    </row>
    <row r="12" customFormat="false" ht="15" hidden="false" customHeight="false" outlineLevel="0" collapsed="false">
      <c r="A12" s="26" t="s">
        <v>454</v>
      </c>
      <c r="B12" s="79" t="n">
        <f aca="false">AVERAGE(D6:D10)</f>
        <v>64.228635481109</v>
      </c>
      <c r="C12" s="79" t="n">
        <f aca="false">MEDIAN(D6:D10)</f>
        <v>61.1447877553357</v>
      </c>
    </row>
    <row r="13" customFormat="false" ht="15" hidden="false" customHeight="false" outlineLevel="0" collapsed="false">
      <c r="A13" s="26" t="s">
        <v>455</v>
      </c>
      <c r="B13" s="79" t="n">
        <f aca="false">AVERAGE(F7:F9)</f>
        <v>58.2715712427267</v>
      </c>
      <c r="C13" s="79" t="n">
        <f aca="false">MEDIAN(F7:F9)</f>
        <v>51.8413538788768</v>
      </c>
    </row>
    <row r="14" customFormat="false" ht="15" hidden="false" customHeight="false" outlineLevel="0" collapsed="false">
      <c r="A14" s="26" t="s">
        <v>456</v>
      </c>
      <c r="B14" s="79" t="n">
        <f aca="false">AVERAGE(F6:F9)</f>
        <v>61.689286438961</v>
      </c>
      <c r="C14" s="79" t="n">
        <f aca="false">MEDIAN(F6:F9)</f>
        <v>61.8918929532703</v>
      </c>
    </row>
    <row r="15" customFormat="false" ht="15" hidden="false" customHeight="false" outlineLevel="0" collapsed="false">
      <c r="A15" s="3" t="s">
        <v>457</v>
      </c>
    </row>
    <row r="17" customFormat="false" ht="15" hidden="false" customHeight="false" outlineLevel="0" collapsed="false">
      <c r="A17" s="4" t="s">
        <v>458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30" hidden="false" customHeight="true" outlineLevel="0" collapsed="false">
      <c r="A18" s="14" t="s">
        <v>459</v>
      </c>
      <c r="B18" s="15" t="s">
        <v>460</v>
      </c>
      <c r="C18" s="15" t="s">
        <v>461</v>
      </c>
      <c r="D18" s="15" t="s">
        <v>462</v>
      </c>
      <c r="E18" s="15" t="s">
        <v>463</v>
      </c>
      <c r="F18" s="15" t="s">
        <v>464</v>
      </c>
      <c r="G18" s="15" t="s">
        <v>465</v>
      </c>
      <c r="H18" s="15" t="s">
        <v>466</v>
      </c>
      <c r="I18" s="15" t="s">
        <v>467</v>
      </c>
      <c r="J18" s="15" t="s">
        <v>468</v>
      </c>
      <c r="K18" s="15" t="s">
        <v>469</v>
      </c>
      <c r="L18" s="15" t="s">
        <v>470</v>
      </c>
      <c r="M18" s="15" t="s">
        <v>471</v>
      </c>
      <c r="N18" s="15" t="s">
        <v>472</v>
      </c>
      <c r="O18" s="15" t="s">
        <v>473</v>
      </c>
      <c r="P18" s="15" t="s">
        <v>474</v>
      </c>
    </row>
    <row r="19" customFormat="false" ht="15" hidden="false" customHeight="false" outlineLevel="0" collapsed="false">
      <c r="A19" s="26" t="s">
        <v>475</v>
      </c>
      <c r="B19" s="80" t="n">
        <f aca="false">DCF!B11</f>
        <v>235387.68</v>
      </c>
      <c r="C19" s="80" t="n">
        <f aca="false">Historicals!E6</f>
        <v>35583.54</v>
      </c>
      <c r="D19" s="80" t="n">
        <f aca="false">Historicals!D6</f>
        <v>33905.62</v>
      </c>
      <c r="E19" s="81" t="n">
        <f aca="false">C19/D19-1</f>
        <v>0.0494879609928973</v>
      </c>
      <c r="F19" s="82" t="n">
        <f aca="false">'Quarterly Tracker'!F7</f>
        <v>0.179</v>
      </c>
      <c r="G19" s="80" t="n">
        <f aca="false">Historicals!E14-'Quarterly Tracker'!B6*'Quarterly Tracker'!B13+'Quarterly Tracker'!F6*'Quarterly Tracker'!F13</f>
        <v>7240.6534</v>
      </c>
      <c r="H19" s="80" t="n">
        <f aca="false">Historicals!E6-'Quarterly Tracker'!B6+'Quarterly Tracker'!F6</f>
        <v>37186.44</v>
      </c>
      <c r="I19" s="81" t="n">
        <f aca="false">G19/H19</f>
        <v>0.194712196166129</v>
      </c>
      <c r="J19" s="80" t="n">
        <f aca="false">'Balance Sheet'!E12</f>
        <v>3928.93</v>
      </c>
      <c r="K19" s="80" t="n">
        <f aca="false">'Balance Sheet'!E18+'Balance Sheet'!E20</f>
        <v>7061.74</v>
      </c>
      <c r="L19" s="83" t="n">
        <f aca="false">B19+J19-K19</f>
        <v>232254.87</v>
      </c>
      <c r="M19" s="77" t="n">
        <f aca="false">L19/G19</f>
        <v>32.0765070732429</v>
      </c>
      <c r="N19" s="84" t="n">
        <f aca="false">Assumptions!B33/((Historicals!E24-'Quarterly Tracker'!B14+'Quarterly Tracker'!F14)/Historicals!E25)</f>
        <v>49.4029320096964</v>
      </c>
      <c r="O19" s="85" t="n">
        <v>0.263</v>
      </c>
      <c r="P19" s="85" t="n">
        <v>0.218</v>
      </c>
    </row>
    <row r="20" customFormat="false" ht="15" hidden="false" customHeight="false" outlineLevel="0" collapsed="false">
      <c r="A20" s="6" t="s">
        <v>476</v>
      </c>
      <c r="B20" s="86" t="n">
        <v>52558</v>
      </c>
      <c r="C20" s="86" t="n">
        <v>11880</v>
      </c>
      <c r="D20" s="86" t="n">
        <v>11545</v>
      </c>
      <c r="E20" s="81" t="n">
        <f aca="false">C20/D20-1</f>
        <v>0.0290168904287571</v>
      </c>
      <c r="F20" s="81" t="n">
        <f aca="false">3584/3201-1</f>
        <v>0.119650109340831</v>
      </c>
      <c r="G20" s="86" t="n">
        <v>1912</v>
      </c>
      <c r="H20" s="86" t="n">
        <v>12263</v>
      </c>
      <c r="I20" s="81" t="n">
        <f aca="false">G20/H20</f>
        <v>0.155916170594471</v>
      </c>
      <c r="J20" s="86" t="n">
        <v>635</v>
      </c>
      <c r="K20" s="86" t="n">
        <v>1189</v>
      </c>
      <c r="L20" s="83" t="n">
        <f aca="false">B20+J20-K20</f>
        <v>52004</v>
      </c>
      <c r="M20" s="77" t="n">
        <f aca="false">L20/G20</f>
        <v>27.1987447698745</v>
      </c>
      <c r="N20" s="87" t="n">
        <v>42.8</v>
      </c>
      <c r="O20" s="85" t="n">
        <v>0.216</v>
      </c>
      <c r="P20" s="85" t="n">
        <v>0.173</v>
      </c>
    </row>
    <row r="21" customFormat="false" ht="15" hidden="false" customHeight="false" outlineLevel="0" collapsed="false">
      <c r="A21" s="6" t="s">
        <v>477</v>
      </c>
      <c r="B21" s="86" t="n">
        <v>14866</v>
      </c>
      <c r="C21" s="86" t="n">
        <v>8052</v>
      </c>
      <c r="D21" s="86" t="n">
        <v>7823</v>
      </c>
      <c r="E21" s="81" t="n">
        <f aca="false">C21/D21-1</f>
        <v>0.0292726575482551</v>
      </c>
      <c r="F21" s="81" t="n">
        <f aca="false">2374/2162-1</f>
        <v>0.0980573543015726</v>
      </c>
      <c r="G21" s="86" t="n">
        <v>1000</v>
      </c>
      <c r="H21" s="86" t="n">
        <v>8263</v>
      </c>
      <c r="I21" s="81" t="n">
        <f aca="false">G21/H21</f>
        <v>0.12102142079148</v>
      </c>
      <c r="J21" s="86" t="n">
        <v>303</v>
      </c>
      <c r="K21" s="86" t="n">
        <v>2365</v>
      </c>
      <c r="L21" s="83" t="n">
        <f aca="false">B21+J21-K21</f>
        <v>12804</v>
      </c>
      <c r="M21" s="77" t="n">
        <f aca="false">L21/G21</f>
        <v>12.804</v>
      </c>
      <c r="N21" s="87" t="n">
        <v>23.1</v>
      </c>
      <c r="O21" s="85" t="n">
        <v>0.12</v>
      </c>
      <c r="P21" s="85" t="n">
        <v>0.0882</v>
      </c>
    </row>
    <row r="22" customFormat="false" ht="15" hidden="false" customHeight="false" outlineLevel="0" collapsed="false">
      <c r="A22" s="6" t="s">
        <v>478</v>
      </c>
      <c r="B22" s="86" t="n">
        <v>5196</v>
      </c>
      <c r="C22" s="86" t="n">
        <v>1330</v>
      </c>
      <c r="D22" s="86" t="n">
        <v>1277</v>
      </c>
      <c r="E22" s="81" t="n">
        <f aca="false">C22/D22-1</f>
        <v>0.0415035238841033</v>
      </c>
      <c r="F22" s="81" t="n">
        <f aca="false">350/295-1</f>
        <v>0.186440677966102</v>
      </c>
      <c r="G22" s="86" t="n">
        <v>265</v>
      </c>
      <c r="H22" s="86" t="n">
        <v>1385</v>
      </c>
      <c r="I22" s="81" t="n">
        <f aca="false">G22/H22</f>
        <v>0.191335740072202</v>
      </c>
      <c r="J22" s="86" t="n">
        <v>18</v>
      </c>
      <c r="K22" s="86" t="n">
        <v>320</v>
      </c>
      <c r="L22" s="83" t="n">
        <f aca="false">B22+J22-K22</f>
        <v>4894</v>
      </c>
      <c r="M22" s="77" t="n">
        <f aca="false">L22/G22</f>
        <v>18.4679245283019</v>
      </c>
      <c r="N22" s="87" t="n">
        <v>31.4</v>
      </c>
      <c r="O22" s="85" t="n">
        <v>0.179</v>
      </c>
      <c r="P22" s="85" t="n">
        <v>0.134</v>
      </c>
    </row>
    <row r="23" customFormat="false" ht="15" hidden="false" customHeight="false" outlineLevel="0" collapsed="false">
      <c r="A23" s="26" t="s">
        <v>479</v>
      </c>
      <c r="E23" s="88" t="n">
        <f aca="false">MEDIAN(E20:E22)</f>
        <v>0.0292726575482551</v>
      </c>
      <c r="F23" s="88" t="n">
        <f aca="false">MEDIAN(F20:F22)</f>
        <v>0.119650109340831</v>
      </c>
      <c r="I23" s="88" t="n">
        <f aca="false">MEDIAN(I20:I22)</f>
        <v>0.155916170594471</v>
      </c>
      <c r="M23" s="89" t="n">
        <f aca="false">MEDIAN(M20:M22)</f>
        <v>18.4679245283019</v>
      </c>
      <c r="N23" s="89" t="n">
        <f aca="false">MEDIAN(N20:N22)</f>
        <v>31.4</v>
      </c>
      <c r="O23" s="88" t="n">
        <f aca="false">MEDIAN(O20:O22)</f>
        <v>0.179</v>
      </c>
      <c r="P23" s="88" t="n">
        <f aca="false">MEDIAN(P20:P22)</f>
        <v>0.134</v>
      </c>
    </row>
    <row r="24" customFormat="false" ht="42" hidden="false" customHeight="true" outlineLevel="0" collapsed="false">
      <c r="A24" s="90" t="s">
        <v>480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</row>
    <row r="26" customFormat="false" ht="15" hidden="false" customHeight="false" outlineLevel="0" collapsed="false">
      <c r="A26" s="4" t="s">
        <v>481</v>
      </c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6" t="s">
        <v>482</v>
      </c>
      <c r="B27" s="91" t="n">
        <f aca="false">C11</f>
        <v>50.0088824097153</v>
      </c>
    </row>
    <row r="28" customFormat="false" ht="15" hidden="false" customHeight="false" outlineLevel="0" collapsed="false">
      <c r="A28" s="6" t="s">
        <v>483</v>
      </c>
      <c r="B28" s="91" t="n">
        <f aca="false">N19</f>
        <v>49.4029320096964</v>
      </c>
    </row>
    <row r="29" customFormat="false" ht="15" hidden="false" customHeight="false" outlineLevel="0" collapsed="false">
      <c r="A29" s="6" t="s">
        <v>484</v>
      </c>
      <c r="B29" s="91" t="n">
        <f aca="false">N20</f>
        <v>42.8</v>
      </c>
    </row>
    <row r="30" customFormat="false" ht="15" hidden="false" customHeight="false" outlineLevel="0" collapsed="false">
      <c r="A30" s="26" t="s">
        <v>485</v>
      </c>
      <c r="B30" s="79" t="n">
        <f aca="false">AVERAGE(B27,B29)</f>
        <v>46.4044412048577</v>
      </c>
    </row>
    <row r="31" customFormat="false" ht="15" hidden="false" customHeight="false" outlineLevel="0" collapsed="false">
      <c r="A31" s="26" t="s">
        <v>486</v>
      </c>
      <c r="B31" s="92" t="n">
        <f aca="false">Assumptions!B32</f>
        <v>45</v>
      </c>
    </row>
    <row r="32" customFormat="false" ht="15" hidden="false" customHeight="false" outlineLevel="0" collapsed="false">
      <c r="A32" s="6" t="s">
        <v>487</v>
      </c>
      <c r="B32" s="93" t="n">
        <f aca="false">B31-B30</f>
        <v>-1.40444120485765</v>
      </c>
    </row>
    <row r="33" customFormat="false" ht="27.75" hidden="false" customHeight="true" outlineLevel="0" collapsed="false">
      <c r="A33" s="94" t="s">
        <v>488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</row>
    <row r="34" customFormat="false" ht="27.75" hidden="false" customHeight="true" outlineLevel="0" collapsed="false">
      <c r="A34" s="94" t="s">
        <v>489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</row>
    <row r="35" customFormat="false" ht="27.75" hidden="false" customHeight="true" outlineLevel="0" collapsed="false">
      <c r="A35" s="94" t="s">
        <v>490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</row>
    <row r="36" customFormat="false" ht="27.75" hidden="false" customHeight="true" outlineLevel="0" collapsed="false">
      <c r="A36" s="94" t="s">
        <v>491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</row>
    <row r="38" customFormat="false" ht="15" hidden="false" customHeight="false" outlineLevel="0" collapsed="false">
      <c r="A38" s="4" t="s">
        <v>492</v>
      </c>
      <c r="B38" s="5"/>
      <c r="C38" s="5"/>
      <c r="D38" s="5"/>
      <c r="E38" s="5"/>
      <c r="F38" s="5"/>
      <c r="G38" s="5"/>
      <c r="H38" s="5"/>
    </row>
    <row r="39" customFormat="false" ht="15" hidden="false" customHeight="false" outlineLevel="0" collapsed="false">
      <c r="A39" s="6" t="s">
        <v>9</v>
      </c>
      <c r="B39" s="95" t="n">
        <f aca="false">Forecast!E37</f>
        <v>60.704900895944</v>
      </c>
    </row>
    <row r="40" customFormat="false" ht="15" hidden="false" customHeight="false" outlineLevel="0" collapsed="false">
      <c r="A40" s="6" t="s">
        <v>42</v>
      </c>
      <c r="B40" s="91" t="n">
        <f aca="false">B31</f>
        <v>45</v>
      </c>
    </row>
    <row r="41" customFormat="false" ht="15" hidden="false" customHeight="false" outlineLevel="0" collapsed="false">
      <c r="A41" s="26" t="s">
        <v>8</v>
      </c>
      <c r="B41" s="96" t="n">
        <f aca="false">ROUND(B39*B40,-1)</f>
        <v>2730</v>
      </c>
    </row>
    <row r="42" customFormat="false" ht="15" hidden="false" customHeight="false" outlineLevel="0" collapsed="false">
      <c r="A42" s="6" t="s">
        <v>203</v>
      </c>
      <c r="B42" s="97" t="n">
        <f aca="false">Assumptions!B33</f>
        <v>2454</v>
      </c>
    </row>
    <row r="43" customFormat="false" ht="15" hidden="false" customHeight="false" outlineLevel="0" collapsed="false">
      <c r="A43" s="26" t="s">
        <v>10</v>
      </c>
      <c r="B43" s="50" t="n">
        <f aca="false">B41/B42-1</f>
        <v>0.112469437652812</v>
      </c>
    </row>
    <row r="44" customFormat="false" ht="15" hidden="false" customHeight="false" outlineLevel="0" collapsed="false">
      <c r="A44" s="26" t="s">
        <v>493</v>
      </c>
      <c r="B44" s="98" t="str">
        <f aca="false">IF(B43&gt;0.15,"BUY",IF(B43&lt;-0.1,"SELL","HOLD"))</f>
        <v>HOLD</v>
      </c>
    </row>
    <row r="45" customFormat="false" ht="15" hidden="false" customHeight="false" outlineLevel="0" collapsed="false">
      <c r="A45" s="6" t="s">
        <v>494</v>
      </c>
      <c r="B45" s="75" t="n">
        <f aca="false">B42/B39</f>
        <v>40.425072173439</v>
      </c>
    </row>
    <row r="46" customFormat="false" ht="15" hidden="false" customHeight="false" outlineLevel="0" collapsed="false">
      <c r="A46" s="6" t="s">
        <v>495</v>
      </c>
      <c r="B46" s="99" t="n">
        <f aca="false">B41/1.15</f>
        <v>2373.91304347826</v>
      </c>
    </row>
    <row r="47" customFormat="false" ht="15" hidden="false" customHeight="false" outlineLevel="0" collapsed="false">
      <c r="A47" s="6" t="s">
        <v>496</v>
      </c>
      <c r="B47" s="75" t="n">
        <f aca="false">B46/B39</f>
        <v>39.1057889633566</v>
      </c>
    </row>
    <row r="48" customFormat="false" ht="15" hidden="false" customHeight="false" outlineLevel="0" collapsed="false">
      <c r="A48" s="6" t="s">
        <v>497</v>
      </c>
      <c r="B48" s="99" t="n">
        <f aca="false">B41/0.9</f>
        <v>3033.33333333333</v>
      </c>
    </row>
    <row r="49" customFormat="false" ht="15" hidden="false" customHeight="false" outlineLevel="0" collapsed="false">
      <c r="A49" s="6" t="s">
        <v>496</v>
      </c>
      <c r="B49" s="75" t="n">
        <f aca="false">B48/B39</f>
        <v>49.9685081198445</v>
      </c>
    </row>
    <row r="51" customFormat="false" ht="15" hidden="false" customHeight="false" outlineLevel="0" collapsed="false">
      <c r="A51" s="4" t="s">
        <v>498</v>
      </c>
      <c r="B51" s="5"/>
      <c r="C51" s="5"/>
      <c r="D51" s="5"/>
      <c r="E51" s="5"/>
      <c r="F51" s="5"/>
      <c r="G51" s="5"/>
      <c r="H51" s="5"/>
    </row>
    <row r="52" customFormat="false" ht="15" hidden="false" customHeight="false" outlineLevel="0" collapsed="false">
      <c r="A52" s="26" t="s">
        <v>499</v>
      </c>
      <c r="B52" s="100" t="n">
        <v>40</v>
      </c>
      <c r="C52" s="100" t="n">
        <v>42.5</v>
      </c>
      <c r="D52" s="100" t="n">
        <v>45</v>
      </c>
      <c r="E52" s="100" t="n">
        <v>47.5</v>
      </c>
      <c r="F52" s="100" t="n">
        <v>50</v>
      </c>
      <c r="G52" s="100" t="n">
        <v>52</v>
      </c>
      <c r="H52" s="3" t="s">
        <v>500</v>
      </c>
    </row>
    <row r="53" customFormat="false" ht="15" hidden="false" customHeight="false" outlineLevel="0" collapsed="false">
      <c r="A53" s="101" t="n">
        <f aca="false">$B$39*(1+-0.1)</f>
        <v>54.6344108063496</v>
      </c>
      <c r="B53" s="102" t="n">
        <f aca="false">ROUND($A53*B$52,-1)</f>
        <v>2190</v>
      </c>
      <c r="C53" s="102" t="n">
        <f aca="false">ROUND($A53*C$52,-1)</f>
        <v>2320</v>
      </c>
      <c r="D53" s="102" t="n">
        <f aca="false">ROUND($A53*D$52,-1)</f>
        <v>2460</v>
      </c>
      <c r="E53" s="102" t="n">
        <f aca="false">ROUND($A53*E$52,-1)</f>
        <v>2600</v>
      </c>
      <c r="F53" s="102" t="n">
        <f aca="false">ROUND($A53*F$52,-1)</f>
        <v>2730</v>
      </c>
      <c r="G53" s="102" t="n">
        <f aca="false">ROUND($A53*G$52,-1)</f>
        <v>2840</v>
      </c>
      <c r="H53" s="3" t="s">
        <v>501</v>
      </c>
    </row>
    <row r="54" customFormat="false" ht="15" hidden="false" customHeight="false" outlineLevel="0" collapsed="false">
      <c r="A54" s="101" t="n">
        <f aca="false">$B$39*(1+-0.05)</f>
        <v>57.6696558511468</v>
      </c>
      <c r="B54" s="102" t="n">
        <f aca="false">ROUND($A54*B$52,-1)</f>
        <v>2310</v>
      </c>
      <c r="C54" s="102" t="n">
        <f aca="false">ROUND($A54*C$52,-1)</f>
        <v>2450</v>
      </c>
      <c r="D54" s="102" t="n">
        <f aca="false">ROUND($A54*D$52,-1)</f>
        <v>2600</v>
      </c>
      <c r="E54" s="102" t="n">
        <f aca="false">ROUND($A54*E$52,-1)</f>
        <v>2740</v>
      </c>
      <c r="F54" s="102" t="n">
        <f aca="false">ROUND($A54*F$52,-1)</f>
        <v>2880</v>
      </c>
      <c r="G54" s="102" t="n">
        <f aca="false">ROUND($A54*G$52,-1)</f>
        <v>3000</v>
      </c>
      <c r="H54" s="3" t="s">
        <v>502</v>
      </c>
    </row>
    <row r="55" customFormat="false" ht="15" hidden="false" customHeight="false" outlineLevel="0" collapsed="false">
      <c r="A55" s="103" t="n">
        <f aca="false">$B$39*(1+0)</f>
        <v>60.704900895944</v>
      </c>
      <c r="B55" s="102" t="n">
        <f aca="false">ROUND($A55*B$52,-1)</f>
        <v>2430</v>
      </c>
      <c r="C55" s="102" t="n">
        <f aca="false">ROUND($A55*C$52,-1)</f>
        <v>2580</v>
      </c>
      <c r="D55" s="104" t="n">
        <f aca="false">ROUND($A55*D$52,-1)</f>
        <v>2730</v>
      </c>
      <c r="E55" s="102" t="n">
        <f aca="false">ROUND($A55*E$52,-1)</f>
        <v>2880</v>
      </c>
      <c r="F55" s="102" t="n">
        <f aca="false">ROUND($A55*F$52,-1)</f>
        <v>3040</v>
      </c>
      <c r="G55" s="102" t="n">
        <f aca="false">ROUND($A55*G$52,-1)</f>
        <v>3160</v>
      </c>
      <c r="H55" s="3" t="s">
        <v>503</v>
      </c>
    </row>
    <row r="56" customFormat="false" ht="15" hidden="false" customHeight="false" outlineLevel="0" collapsed="false">
      <c r="A56" s="101" t="n">
        <f aca="false">$B$39*(1+0.05)</f>
        <v>63.7401459407412</v>
      </c>
      <c r="B56" s="102" t="n">
        <f aca="false">ROUND($A56*B$52,-1)</f>
        <v>2550</v>
      </c>
      <c r="C56" s="102" t="n">
        <f aca="false">ROUND($A56*C$52,-1)</f>
        <v>2710</v>
      </c>
      <c r="D56" s="102" t="n">
        <f aca="false">ROUND($A56*D$52,-1)</f>
        <v>2870</v>
      </c>
      <c r="E56" s="102" t="n">
        <f aca="false">ROUND($A56*E$52,-1)</f>
        <v>3030</v>
      </c>
      <c r="F56" s="102" t="n">
        <f aca="false">ROUND($A56*F$52,-1)</f>
        <v>3190</v>
      </c>
      <c r="G56" s="102" t="n">
        <f aca="false">ROUND($A56*G$52,-1)</f>
        <v>3310</v>
      </c>
      <c r="H56" s="3" t="s">
        <v>504</v>
      </c>
    </row>
    <row r="57" customFormat="false" ht="15" hidden="false" customHeight="false" outlineLevel="0" collapsed="false">
      <c r="A57" s="101" t="n">
        <f aca="false">$B$39*(1+0.1)</f>
        <v>66.7753909855384</v>
      </c>
      <c r="B57" s="102" t="n">
        <f aca="false">ROUND($A57*B$52,-1)</f>
        <v>2670</v>
      </c>
      <c r="C57" s="102" t="n">
        <f aca="false">ROUND($A57*C$52,-1)</f>
        <v>2840</v>
      </c>
      <c r="D57" s="102" t="n">
        <f aca="false">ROUND($A57*D$52,-1)</f>
        <v>3000</v>
      </c>
      <c r="E57" s="102" t="n">
        <f aca="false">ROUND($A57*E$52,-1)</f>
        <v>3170</v>
      </c>
      <c r="F57" s="102" t="n">
        <f aca="false">ROUND($A57*F$52,-1)</f>
        <v>3340</v>
      </c>
      <c r="G57" s="102" t="n">
        <f aca="false">ROUND($A57*G$52,-1)</f>
        <v>3470</v>
      </c>
      <c r="H57" s="3" t="s">
        <v>505</v>
      </c>
    </row>
    <row r="59" customFormat="false" ht="15" hidden="false" customHeight="false" outlineLevel="0" collapsed="false">
      <c r="A59" s="4" t="s">
        <v>506</v>
      </c>
      <c r="B59" s="5"/>
      <c r="C59" s="5"/>
      <c r="D59" s="5"/>
      <c r="E59" s="5"/>
      <c r="F59" s="5"/>
      <c r="G59" s="5"/>
      <c r="H59" s="5"/>
    </row>
    <row r="60" customFormat="false" ht="27.75" hidden="false" customHeight="true" outlineLevel="0" collapsed="false">
      <c r="A60" s="94" t="s">
        <v>507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</row>
    <row r="61" customFormat="false" ht="27.75" hidden="false" customHeight="true" outlineLevel="0" collapsed="false">
      <c r="A61" s="94" t="s">
        <v>508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</row>
    <row r="62" customFormat="false" ht="27.75" hidden="false" customHeight="true" outlineLevel="0" collapsed="false">
      <c r="A62" s="94" t="s">
        <v>509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</row>
    <row r="63" customFormat="false" ht="27.75" hidden="false" customHeight="true" outlineLevel="0" collapsed="false">
      <c r="A63" s="94" t="s">
        <v>510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</row>
  </sheetData>
  <mergeCells count="9">
    <mergeCell ref="A24:P24"/>
    <mergeCell ref="A33:P33"/>
    <mergeCell ref="A34:P34"/>
    <mergeCell ref="A35:P35"/>
    <mergeCell ref="A36:P36"/>
    <mergeCell ref="A60:P60"/>
    <mergeCell ref="A61:P61"/>
    <mergeCell ref="A62:P62"/>
    <mergeCell ref="A63:P63"/>
  </mergeCells>
  <conditionalFormatting sqref="B53:G57">
    <cfRule type="expression" priority="2" aboveAverage="0" equalAverage="0" bottom="0" percent="0" rank="0" text="" dxfId="0">
      <formula>AND(ISNUMBER(B53),B53&gt;=$B$42)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17" min="3" style="0" width="9.51"/>
  </cols>
  <sheetData>
    <row r="1" customFormat="false" ht="17.35" hidden="false" customHeight="false" outlineLevel="0" collapsed="false">
      <c r="A1" s="33" t="s">
        <v>511</v>
      </c>
    </row>
    <row r="2" customFormat="false" ht="15" hidden="false" customHeight="false" outlineLevel="0" collapsed="false">
      <c r="A2" s="3" t="s">
        <v>512</v>
      </c>
    </row>
    <row r="4" customFormat="false" ht="15" hidden="false" customHeight="false" outlineLevel="0" collapsed="false">
      <c r="A4" s="4" t="s">
        <v>513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 t="s">
        <v>514</v>
      </c>
      <c r="B5" s="55" t="n">
        <f aca="false">Assumptions!B27</f>
        <v>0.071</v>
      </c>
    </row>
    <row r="6" customFormat="false" ht="15" hidden="false" customHeight="false" outlineLevel="0" collapsed="false">
      <c r="A6" s="6" t="s">
        <v>191</v>
      </c>
      <c r="B6" s="105" t="n">
        <f aca="false">Assumptions!B28</f>
        <v>0.7</v>
      </c>
    </row>
    <row r="7" customFormat="false" ht="15" hidden="false" customHeight="false" outlineLevel="0" collapsed="false">
      <c r="A7" s="6" t="s">
        <v>194</v>
      </c>
      <c r="B7" s="55" t="n">
        <f aca="false">Assumptions!B29</f>
        <v>0.055</v>
      </c>
    </row>
    <row r="8" customFormat="false" ht="15" hidden="false" customHeight="false" outlineLevel="0" collapsed="false">
      <c r="A8" s="26" t="s">
        <v>515</v>
      </c>
      <c r="B8" s="50" t="n">
        <f aca="false">B5+B6*B7</f>
        <v>0.1095</v>
      </c>
    </row>
    <row r="9" customFormat="false" ht="15" hidden="false" customHeight="false" outlineLevel="0" collapsed="false">
      <c r="A9" s="6" t="s">
        <v>196</v>
      </c>
      <c r="B9" s="55" t="n">
        <f aca="false">Assumptions!B30</f>
        <v>0.075</v>
      </c>
    </row>
    <row r="10" customFormat="false" ht="15" hidden="false" customHeight="false" outlineLevel="0" collapsed="false">
      <c r="A10" s="6" t="s">
        <v>67</v>
      </c>
      <c r="B10" s="55" t="n">
        <f aca="false">Forecast!D33</f>
        <v>0.26</v>
      </c>
    </row>
    <row r="11" customFormat="false" ht="15" hidden="false" customHeight="false" outlineLevel="0" collapsed="false">
      <c r="A11" s="6" t="s">
        <v>516</v>
      </c>
      <c r="B11" s="44" t="n">
        <f aca="false">B34*Historicals!E25</f>
        <v>235387.68</v>
      </c>
    </row>
    <row r="12" customFormat="false" ht="15" hidden="false" customHeight="false" outlineLevel="0" collapsed="false">
      <c r="A12" s="6" t="s">
        <v>517</v>
      </c>
      <c r="B12" s="59" t="n">
        <f aca="false">'Balance Sheet'!E12</f>
        <v>3928.93</v>
      </c>
    </row>
    <row r="13" customFormat="false" ht="15" hidden="false" customHeight="false" outlineLevel="0" collapsed="false">
      <c r="A13" s="6" t="s">
        <v>518</v>
      </c>
      <c r="B13" s="49" t="n">
        <f aca="false">B12/(B12+B11)</f>
        <v>0.0164172892136488</v>
      </c>
    </row>
    <row r="14" customFormat="false" ht="15" hidden="false" customHeight="false" outlineLevel="0" collapsed="false">
      <c r="A14" s="26" t="s">
        <v>69</v>
      </c>
      <c r="B14" s="50" t="n">
        <f aca="false">(1-B13)*B8+B13*B9*(1-B10)</f>
        <v>0.108613466382463</v>
      </c>
    </row>
    <row r="15" customFormat="false" ht="15" hidden="false" customHeight="false" outlineLevel="0" collapsed="false">
      <c r="A15" s="6" t="s">
        <v>71</v>
      </c>
      <c r="B15" s="55" t="n">
        <f aca="false">Assumptions!B31</f>
        <v>0.06</v>
      </c>
    </row>
    <row r="17" customFormat="false" ht="15" hidden="false" customHeight="false" outlineLevel="0" collapsed="false">
      <c r="A17" s="4" t="s">
        <v>519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customFormat="false" ht="15" hidden="false" customHeight="false" outlineLevel="0" collapsed="false">
      <c r="A18" s="14"/>
      <c r="B18" s="15"/>
      <c r="C18" s="27" t="s">
        <v>46</v>
      </c>
      <c r="D18" s="27" t="s">
        <v>47</v>
      </c>
      <c r="E18" s="27" t="s">
        <v>108</v>
      </c>
      <c r="F18" s="27" t="s">
        <v>109</v>
      </c>
      <c r="G18" s="27" t="s">
        <v>110</v>
      </c>
      <c r="H18" s="27" t="s">
        <v>520</v>
      </c>
      <c r="I18" s="27" t="s">
        <v>521</v>
      </c>
      <c r="J18" s="27" t="s">
        <v>522</v>
      </c>
      <c r="K18" s="27" t="s">
        <v>523</v>
      </c>
      <c r="L18" s="27" t="s">
        <v>524</v>
      </c>
      <c r="M18" s="27" t="s">
        <v>525</v>
      </c>
      <c r="N18" s="27" t="s">
        <v>526</v>
      </c>
      <c r="O18" s="27" t="s">
        <v>527</v>
      </c>
      <c r="P18" s="27" t="s">
        <v>528</v>
      </c>
      <c r="Q18" s="27" t="s">
        <v>529</v>
      </c>
    </row>
    <row r="19" customFormat="false" ht="15" hidden="false" customHeight="false" outlineLevel="0" collapsed="false">
      <c r="A19" s="6" t="s">
        <v>530</v>
      </c>
      <c r="C19" s="106" t="s">
        <v>531</v>
      </c>
      <c r="D19" s="106" t="s">
        <v>531</v>
      </c>
      <c r="E19" s="106" t="s">
        <v>531</v>
      </c>
      <c r="F19" s="106" t="s">
        <v>531</v>
      </c>
      <c r="G19" s="106" t="s">
        <v>531</v>
      </c>
      <c r="H19" s="106" t="s">
        <v>532</v>
      </c>
      <c r="I19" s="106" t="s">
        <v>532</v>
      </c>
      <c r="J19" s="106" t="s">
        <v>532</v>
      </c>
      <c r="K19" s="106" t="s">
        <v>532</v>
      </c>
      <c r="L19" s="106" t="s">
        <v>532</v>
      </c>
      <c r="M19" s="106" t="s">
        <v>532</v>
      </c>
      <c r="N19" s="106" t="s">
        <v>532</v>
      </c>
      <c r="O19" s="106" t="s">
        <v>532</v>
      </c>
      <c r="P19" s="106" t="s">
        <v>532</v>
      </c>
      <c r="Q19" s="106" t="s">
        <v>532</v>
      </c>
    </row>
    <row r="20" customFormat="false" ht="15" hidden="false" customHeight="false" outlineLevel="0" collapsed="false">
      <c r="A20" s="6" t="s">
        <v>262</v>
      </c>
      <c r="C20" s="55" t="n">
        <f aca="false">Forecast!D16</f>
        <v>0.141749592508909</v>
      </c>
      <c r="D20" s="55" t="n">
        <f aca="false">Forecast!E16</f>
        <v>0.0909198109240168</v>
      </c>
      <c r="E20" s="55" t="n">
        <f aca="false">Forecast!F16</f>
        <v>0.0909352531945173</v>
      </c>
      <c r="F20" s="55" t="n">
        <f aca="false">Forecast!G16</f>
        <v>0.0852616853773092</v>
      </c>
      <c r="G20" s="55" t="n">
        <f aca="false">Forecast!H16</f>
        <v>0.0808874096418593</v>
      </c>
      <c r="H20" s="49" t="n">
        <f aca="false">$G$20-($G$20-$B$15)*1/10</f>
        <v>0.0787986686776733</v>
      </c>
      <c r="I20" s="49" t="n">
        <f aca="false">$G$20-($G$20-$B$15)*2/10</f>
        <v>0.0767099277134874</v>
      </c>
      <c r="J20" s="49" t="n">
        <f aca="false">$G$20-($G$20-$B$15)*3/10</f>
        <v>0.0746211867493015</v>
      </c>
      <c r="K20" s="49" t="n">
        <f aca="false">$G$20-($G$20-$B$15)*4/10</f>
        <v>0.0725324457851156</v>
      </c>
      <c r="L20" s="49" t="n">
        <f aca="false">$G$20-($G$20-$B$15)*5/10</f>
        <v>0.0704437048209296</v>
      </c>
      <c r="M20" s="49" t="n">
        <f aca="false">$G$20-($G$20-$B$15)*6/10</f>
        <v>0.0683549638567437</v>
      </c>
      <c r="N20" s="49" t="n">
        <f aca="false">$G$20-($G$20-$B$15)*7/10</f>
        <v>0.0662662228925578</v>
      </c>
      <c r="O20" s="49" t="n">
        <f aca="false">$G$20-($G$20-$B$15)*8/10</f>
        <v>0.0641774819283719</v>
      </c>
      <c r="P20" s="49" t="n">
        <f aca="false">$G$20-($G$20-$B$15)*9/10</f>
        <v>0.0620887409641859</v>
      </c>
      <c r="Q20" s="49" t="n">
        <f aca="false">$G$20-($G$20-$B$15)*10/10</f>
        <v>0.06</v>
      </c>
    </row>
    <row r="21" customFormat="false" ht="15" hidden="false" customHeight="false" outlineLevel="0" collapsed="false">
      <c r="A21" s="6" t="s">
        <v>533</v>
      </c>
      <c r="C21" s="59" t="n">
        <f aca="false">Forecast!D15</f>
        <v>40627.5608</v>
      </c>
      <c r="D21" s="59" t="n">
        <f aca="false">Forecast!E15</f>
        <v>44321.41094624</v>
      </c>
      <c r="E21" s="59" t="n">
        <f aca="false">Forecast!F15</f>
        <v>48351.7896725746</v>
      </c>
      <c r="F21" s="59" t="n">
        <f aca="false">Forecast!G15</f>
        <v>52474.3447510675</v>
      </c>
      <c r="G21" s="59" t="n">
        <f aca="false">Forecast!H15</f>
        <v>56718.8585706352</v>
      </c>
      <c r="H21" s="44" t="n">
        <f aca="false">G21*(1+H20)</f>
        <v>61188.2291149185</v>
      </c>
      <c r="I21" s="44" t="n">
        <f aca="false">H21*(1+I20)</f>
        <v>65881.9737472402</v>
      </c>
      <c r="J21" s="44" t="n">
        <f aca="false">I21*(1+J20)</f>
        <v>70798.1648136456</v>
      </c>
      <c r="K21" s="44" t="n">
        <f aca="false">J21*(1+K20)</f>
        <v>75933.328864677</v>
      </c>
      <c r="L21" s="44" t="n">
        <f aca="false">K21*(1+L20)</f>
        <v>81282.3538692909</v>
      </c>
      <c r="M21" s="44" t="n">
        <f aca="false">L21*(1+M20)</f>
        <v>86838.4062302173</v>
      </c>
      <c r="N21" s="44" t="n">
        <f aca="false">M21*(1+N20)</f>
        <v>92592.8594131034</v>
      </c>
      <c r="O21" s="44" t="n">
        <f aca="false">N21*(1+O20)</f>
        <v>98535.2359747841</v>
      </c>
      <c r="P21" s="44" t="n">
        <f aca="false">O21*(1+P20)</f>
        <v>104653.164717067</v>
      </c>
      <c r="Q21" s="44" t="n">
        <f aca="false">P21*(1+Q20)</f>
        <v>110932.354600091</v>
      </c>
    </row>
    <row r="22" customFormat="false" ht="15" hidden="false" customHeight="false" outlineLevel="0" collapsed="false">
      <c r="A22" s="6" t="s">
        <v>39</v>
      </c>
      <c r="C22" s="55" t="n">
        <f aca="false">Forecast!D26</f>
        <v>0.187</v>
      </c>
      <c r="D22" s="55" t="n">
        <f aca="false">Forecast!E26</f>
        <v>0.195</v>
      </c>
      <c r="E22" s="55" t="n">
        <f aca="false">Forecast!F26</f>
        <v>0.198</v>
      </c>
      <c r="F22" s="55" t="n">
        <f aca="false">Forecast!G26</f>
        <v>0.199</v>
      </c>
      <c r="G22" s="55" t="n">
        <f aca="false">Forecast!H26</f>
        <v>0.199</v>
      </c>
      <c r="H22" s="49" t="n">
        <f aca="false">$G$22</f>
        <v>0.199</v>
      </c>
      <c r="I22" s="49" t="n">
        <f aca="false">$G$22</f>
        <v>0.199</v>
      </c>
      <c r="J22" s="49" t="n">
        <f aca="false">$G$22</f>
        <v>0.199</v>
      </c>
      <c r="K22" s="49" t="n">
        <f aca="false">$G$22</f>
        <v>0.199</v>
      </c>
      <c r="L22" s="49" t="n">
        <f aca="false">$G$22</f>
        <v>0.199</v>
      </c>
      <c r="M22" s="49" t="n">
        <f aca="false">$G$22</f>
        <v>0.199</v>
      </c>
      <c r="N22" s="49" t="n">
        <f aca="false">$G$22</f>
        <v>0.199</v>
      </c>
      <c r="O22" s="49" t="n">
        <f aca="false">$G$22</f>
        <v>0.199</v>
      </c>
      <c r="P22" s="49" t="n">
        <f aca="false">$G$22</f>
        <v>0.199</v>
      </c>
      <c r="Q22" s="49" t="n">
        <f aca="false">$G$22</f>
        <v>0.199</v>
      </c>
    </row>
    <row r="23" customFormat="false" ht="15" hidden="false" customHeight="false" outlineLevel="0" collapsed="false">
      <c r="A23" s="26" t="s">
        <v>340</v>
      </c>
      <c r="C23" s="65" t="n">
        <f aca="false">Forecast!D54</f>
        <v>3149.04580524997</v>
      </c>
      <c r="D23" s="65" t="n">
        <f aca="false">Forecast!E54</f>
        <v>4346.59536691831</v>
      </c>
      <c r="E23" s="65" t="n">
        <f aca="false">Forecast!F54</f>
        <v>4849.08164583893</v>
      </c>
      <c r="F23" s="65" t="n">
        <f aca="false">Forecast!G54</f>
        <v>5451.77179953797</v>
      </c>
      <c r="G23" s="65" t="n">
        <f aca="false">Forecast!H54</f>
        <v>5930.99606817429</v>
      </c>
      <c r="H23" s="45" t="n">
        <f aca="false">(H21*H22-H21*Forecast!$H$27)*(1-Forecast!$H$33)+H21*Forecast!$H$27-H21*Forecast!$H$46-(H21-G21)*(Forecast!$H$41+Forecast!$H$42-Forecast!$H$43)/365</f>
        <v>6418.16970525901</v>
      </c>
      <c r="I23" s="45" t="n">
        <f aca="false">(I21*I22-I21*Forecast!$H$27)*(1-Forecast!$H$33)+I21*Forecast!$H$27-I21*Forecast!$H$46-(I21-H21)*(Forecast!$H$41+Forecast!$H$42-Forecast!$H$43)/365</f>
        <v>6931.92919343062</v>
      </c>
      <c r="J23" s="45" t="n">
        <f aca="false">(J21*J22-J21*Forecast!$H$27)*(1-Forecast!$H$33)+J21*Forecast!$H$27-J21*Forecast!$H$46-(J21-I21)*(Forecast!$H$41+Forecast!$H$42-Forecast!$H$43)/365</f>
        <v>7472.30816755249</v>
      </c>
      <c r="K23" s="45" t="n">
        <f aca="false">(K21*K22-K21*Forecast!$H$27)*(1-Forecast!$H$33)+K21*Forecast!$H$27-K21*Forecast!$H$46-(K21-J21)*(Forecast!$H$41+Forecast!$H$42-Forecast!$H$43)/365</f>
        <v>8039.17592695103</v>
      </c>
      <c r="L23" s="45" t="n">
        <f aca="false">(L21*L22-L21*Forecast!$H$27)*(1-Forecast!$H$33)+L21*Forecast!$H$27-L21*Forecast!$H$46-(L21-K21)*(Forecast!$H$41+Forecast!$H$42-Forecast!$H$43)/365</f>
        <v>8632.22503222485</v>
      </c>
      <c r="M23" s="45" t="n">
        <f aca="false">(M21*M22-M21*Forecast!$H$27)*(1-Forecast!$H$33)+M21*Forecast!$H$27-M21*Forecast!$H$46-(M21-L21)*(Forecast!$H$41+Forecast!$H$42-Forecast!$H$43)/365</f>
        <v>9250.95973244307</v>
      </c>
      <c r="N23" s="45" t="n">
        <f aca="false">(N21*N22-N21*Forecast!$H$27)*(1-Forecast!$H$33)+N21*Forecast!$H$27-N21*Forecast!$H$46-(N21-M21)*(Forecast!$H$41+Forecast!$H$42-Forecast!$H$43)/365</f>
        <v>9894.68543622044</v>
      </c>
      <c r="O23" s="45" t="n">
        <f aca="false">(O21*O22-O21*Forecast!$H$27)*(1-Forecast!$H$33)+O21*Forecast!$H$27-O21*Forecast!$H$46-(O21-N21)*(Forecast!$H$41+Forecast!$H$42-Forecast!$H$43)/365</f>
        <v>10562.4994424003</v>
      </c>
      <c r="P23" s="45" t="n">
        <f aca="false">(P21*P22-P21*Forecast!$H$27)*(1-Forecast!$H$33)+P21*Forecast!$H$27-P21*Forecast!$H$46-(P21-O21)*(Forecast!$H$41+Forecast!$H$42-Forecast!$H$43)/365</f>
        <v>11253.283144892</v>
      </c>
      <c r="Q23" s="45" t="n">
        <f aca="false">(Q21*Q22-Q21*Forecast!$H$27)*(1-Forecast!$H$33)+Q21*Forecast!$H$27-Q21*Forecast!$H$46-(Q21-P21)*(Forecast!$H$41+Forecast!$H$42-Forecast!$H$43)/365</f>
        <v>11965.6959213404</v>
      </c>
    </row>
    <row r="24" customFormat="false" ht="15" hidden="false" customHeight="false" outlineLevel="0" collapsed="false">
      <c r="A24" s="6" t="s">
        <v>534</v>
      </c>
      <c r="C24" s="39" t="n">
        <v>0.5</v>
      </c>
      <c r="D24" s="39" t="n">
        <v>1.5</v>
      </c>
      <c r="E24" s="39" t="n">
        <v>2.5</v>
      </c>
      <c r="F24" s="39" t="n">
        <v>3.5</v>
      </c>
      <c r="G24" s="39" t="n">
        <v>4.5</v>
      </c>
      <c r="H24" s="39" t="n">
        <v>5.5</v>
      </c>
      <c r="I24" s="39" t="n">
        <v>6.5</v>
      </c>
      <c r="J24" s="39" t="n">
        <v>7.5</v>
      </c>
      <c r="K24" s="39" t="n">
        <v>8.5</v>
      </c>
      <c r="L24" s="39" t="n">
        <v>9.5</v>
      </c>
      <c r="M24" s="39" t="n">
        <v>10.5</v>
      </c>
      <c r="N24" s="39" t="n">
        <v>11.5</v>
      </c>
      <c r="O24" s="39" t="n">
        <v>12.5</v>
      </c>
      <c r="P24" s="39" t="n">
        <v>13.5</v>
      </c>
      <c r="Q24" s="39" t="n">
        <v>14.5</v>
      </c>
    </row>
    <row r="25" customFormat="false" ht="15" hidden="false" customHeight="false" outlineLevel="0" collapsed="false">
      <c r="A25" s="6" t="s">
        <v>535</v>
      </c>
      <c r="C25" s="107" t="n">
        <f aca="false">1/(1+$B$14)^C24</f>
        <v>0.949751362275902</v>
      </c>
      <c r="D25" s="107" t="n">
        <f aca="false">1/(1+$B$14)^D24</f>
        <v>0.856701989535679</v>
      </c>
      <c r="E25" s="107" t="n">
        <f aca="false">1/(1+$B$14)^E24</f>
        <v>0.772768882495356</v>
      </c>
      <c r="F25" s="107" t="n">
        <f aca="false">1/(1+$B$14)^F24</f>
        <v>0.697058899182411</v>
      </c>
      <c r="G25" s="107" t="n">
        <f aca="false">1/(1+$B$14)^G24</f>
        <v>0.628766400842123</v>
      </c>
      <c r="H25" s="107" t="n">
        <f aca="false">1/(1+$B$14)^H24</f>
        <v>0.567164679041706</v>
      </c>
      <c r="I25" s="107" t="n">
        <f aca="false">1/(1+$B$14)^I24</f>
        <v>0.511598222681194</v>
      </c>
      <c r="J25" s="107" t="n">
        <f aca="false">1/(1+$B$14)^J24</f>
        <v>0.461475742623441</v>
      </c>
      <c r="K25" s="107" t="n">
        <f aca="false">1/(1+$B$14)^K24</f>
        <v>0.41626387971751</v>
      </c>
      <c r="L25" s="107" t="n">
        <f aca="false">1/(1+$B$14)^L24</f>
        <v>0.375481529261798</v>
      </c>
      <c r="M25" s="107" t="n">
        <f aca="false">1/(1+$B$14)^M24</f>
        <v>0.338694721512845</v>
      </c>
      <c r="N25" s="107" t="n">
        <f aca="false">1/(1+$B$14)^N24</f>
        <v>0.305512003762723</v>
      </c>
      <c r="O25" s="107" t="n">
        <f aca="false">1/(1+$B$14)^O24</f>
        <v>0.275580274845159</v>
      </c>
      <c r="P25" s="107" t="n">
        <f aca="false">1/(1+$B$14)^P24</f>
        <v>0.248581027744873</v>
      </c>
      <c r="Q25" s="107" t="n">
        <f aca="false">1/(1+$B$14)^Q24</f>
        <v>0.22422696032732</v>
      </c>
    </row>
    <row r="26" customFormat="false" ht="15" hidden="false" customHeight="false" outlineLevel="0" collapsed="false">
      <c r="A26" s="6" t="s">
        <v>536</v>
      </c>
      <c r="C26" s="44" t="n">
        <f aca="false">C23*C25</f>
        <v>2990.81054340538</v>
      </c>
      <c r="D26" s="44" t="n">
        <f aca="false">D23*D25</f>
        <v>3723.73689854548</v>
      </c>
      <c r="E26" s="44" t="n">
        <f aca="false">E23*E25</f>
        <v>3747.2194045837</v>
      </c>
      <c r="F26" s="44" t="n">
        <f aca="false">F23*F25</f>
        <v>3800.20604917965</v>
      </c>
      <c r="G26" s="44" t="n">
        <f aca="false">G23*G25</f>
        <v>3729.21105119473</v>
      </c>
      <c r="H26" s="44" t="n">
        <f aca="false">H23*H25</f>
        <v>3640.15916091843</v>
      </c>
      <c r="I26" s="44" t="n">
        <f aca="false">I23*I25</f>
        <v>3546.36265511099</v>
      </c>
      <c r="J26" s="44" t="n">
        <f aca="false">J23*J25</f>
        <v>3448.28896073249</v>
      </c>
      <c r="K26" s="44" t="n">
        <f aca="false">K23*K25</f>
        <v>3346.41856108424</v>
      </c>
      <c r="L26" s="44" t="n">
        <f aca="false">L23*L25</f>
        <v>3241.24105603176</v>
      </c>
      <c r="M26" s="44" t="n">
        <f aca="false">M23*M25</f>
        <v>3133.25123030635</v>
      </c>
      <c r="N26" s="44" t="n">
        <f aca="false">N23*N25</f>
        <v>3022.94517422154</v>
      </c>
      <c r="O26" s="44" t="n">
        <f aca="false">O23*O25</f>
        <v>2910.81649938851</v>
      </c>
      <c r="P26" s="44" t="n">
        <f aca="false">P23*P25</f>
        <v>2797.3526896613</v>
      </c>
      <c r="Q26" s="44" t="n">
        <f aca="false">Q23*Q25</f>
        <v>2683.03162464317</v>
      </c>
    </row>
    <row r="28" customFormat="false" ht="15" hidden="false" customHeight="false" outlineLevel="0" collapsed="false">
      <c r="A28" s="4" t="s">
        <v>537</v>
      </c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6" t="s">
        <v>538</v>
      </c>
      <c r="B29" s="44" t="n">
        <f aca="false">SUM(C26:Q26)</f>
        <v>49761.0515590077</v>
      </c>
    </row>
    <row r="30" customFormat="false" ht="15" hidden="false" customHeight="false" outlineLevel="0" collapsed="false">
      <c r="A30" s="6" t="s">
        <v>539</v>
      </c>
      <c r="B30" s="44" t="n">
        <f aca="false">Q23*(1+B15)/(B14-B15)</f>
        <v>260907.905164245</v>
      </c>
    </row>
    <row r="31" customFormat="false" ht="15" hidden="false" customHeight="false" outlineLevel="0" collapsed="false">
      <c r="A31" s="6" t="s">
        <v>540</v>
      </c>
      <c r="B31" s="44" t="n">
        <f aca="false">B30/(1+B14)^15</f>
        <v>55562.9112253685</v>
      </c>
    </row>
    <row r="32" customFormat="false" ht="15" hidden="false" customHeight="false" outlineLevel="0" collapsed="false">
      <c r="A32" s="26" t="s">
        <v>541</v>
      </c>
      <c r="B32" s="45" t="n">
        <f aca="false">B29+B31</f>
        <v>105323.962784376</v>
      </c>
    </row>
    <row r="33" customFormat="false" ht="15" hidden="false" customHeight="false" outlineLevel="0" collapsed="false">
      <c r="A33" s="6" t="s">
        <v>542</v>
      </c>
      <c r="B33" s="49" t="n">
        <f aca="false">B31/B32</f>
        <v>0.527542923343279</v>
      </c>
    </row>
    <row r="34" customFormat="false" ht="15" hidden="false" customHeight="false" outlineLevel="0" collapsed="false">
      <c r="A34" s="6" t="s">
        <v>203</v>
      </c>
      <c r="B34" s="97" t="n">
        <f aca="false">Assumptions!B33</f>
        <v>2454</v>
      </c>
    </row>
    <row r="35" customFormat="false" ht="15" hidden="false" customHeight="false" outlineLevel="0" collapsed="false">
      <c r="A35" s="6" t="s">
        <v>543</v>
      </c>
      <c r="B35" s="59" t="n">
        <f aca="false">'Balance Sheet'!E41</f>
        <v>8135.42</v>
      </c>
    </row>
    <row r="36" customFormat="false" ht="15" hidden="false" customHeight="false" outlineLevel="0" collapsed="false">
      <c r="A36" s="6" t="s">
        <v>544</v>
      </c>
      <c r="B36" s="59" t="n">
        <f aca="false">'Balance Sheet'!E12</f>
        <v>3928.93</v>
      </c>
    </row>
    <row r="37" customFormat="false" ht="15" hidden="false" customHeight="false" outlineLevel="0" collapsed="false">
      <c r="A37" s="6" t="s">
        <v>545</v>
      </c>
      <c r="B37" s="59" t="n">
        <f aca="false">'Balance Sheet'!E9</f>
        <v>643.39</v>
      </c>
    </row>
    <row r="38" customFormat="false" ht="15" hidden="false" customHeight="false" outlineLevel="0" collapsed="false">
      <c r="A38" s="26" t="s">
        <v>546</v>
      </c>
      <c r="B38" s="45" t="n">
        <f aca="false">B32+B35-B36-B37</f>
        <v>108887.062784376</v>
      </c>
    </row>
    <row r="39" customFormat="false" ht="15" hidden="false" customHeight="false" outlineLevel="0" collapsed="false">
      <c r="A39" s="26" t="s">
        <v>547</v>
      </c>
      <c r="B39" s="96" t="n">
        <f aca="false">B38/Historicals!E25</f>
        <v>1135.1862258588</v>
      </c>
    </row>
    <row r="40" customFormat="false" ht="15" hidden="false" customHeight="false" outlineLevel="0" collapsed="false">
      <c r="A40" s="26" t="s">
        <v>548</v>
      </c>
      <c r="B40" s="50" t="n">
        <f aca="false">B39/B34-1</f>
        <v>-0.537413925892909</v>
      </c>
    </row>
    <row r="42" customFormat="false" ht="15" hidden="false" customHeight="false" outlineLevel="0" collapsed="false">
      <c r="A42" s="4" t="s">
        <v>549</v>
      </c>
      <c r="B42" s="5"/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3" t="s">
        <v>550</v>
      </c>
    </row>
    <row r="44" customFormat="false" ht="15" hidden="false" customHeight="false" outlineLevel="0" collapsed="false">
      <c r="A44" s="26" t="s">
        <v>551</v>
      </c>
      <c r="B44" s="108" t="n">
        <v>0.05</v>
      </c>
      <c r="C44" s="108" t="n">
        <v>0.055</v>
      </c>
      <c r="D44" s="108" t="n">
        <v>0.06</v>
      </c>
      <c r="E44" s="108" t="n">
        <v>0.065</v>
      </c>
      <c r="F44" s="108" t="n">
        <v>0.07</v>
      </c>
      <c r="G44" s="108" t="n">
        <v>0.08</v>
      </c>
      <c r="H44" s="108" t="n">
        <v>0.09</v>
      </c>
    </row>
    <row r="45" customFormat="false" ht="15" hidden="false" customHeight="false" outlineLevel="0" collapsed="false">
      <c r="A45" s="109" t="n">
        <v>0.09</v>
      </c>
      <c r="B45" s="102" t="n">
        <f aca="false">IF($A45&lt;=B$44,"n.m.",(SUMPRODUCT($C$23:$Q$23,1/(1+$A45)^$C$24:$Q$24)+$Q$23*(1+B$44)/($A45-B$44)/(1+$A45)^15+$B$35-$B$36-$B$37)/Historicals!$E$25)</f>
        <v>1523.10427466695</v>
      </c>
      <c r="C45" s="102" t="n">
        <f aca="false">IF($A45&lt;=C$44,"n.m.",(SUMPRODUCT($C$23:$Q$23,1/(1+$A45)^$C$24:$Q$24)+$Q$23*(1+C$44)/($A45-C$44)/(1+$A45)^15+$B$35-$B$36-$B$37)/Historicals!$E$25)</f>
        <v>1656.42565133875</v>
      </c>
      <c r="D45" s="102" t="n">
        <f aca="false">IF($A45&lt;=D$44,"n.m.",(SUMPRODUCT($C$23:$Q$23,1/(1+$A45)^$C$24:$Q$24)+$Q$23*(1+D$44)/($A45-D$44)/(1+$A45)^15+$B$35-$B$36-$B$37)/Historicals!$E$25)</f>
        <v>1834.18748690115</v>
      </c>
      <c r="E45" s="102" t="n">
        <f aca="false">IF($A45&lt;=E$44,"n.m.",(SUMPRODUCT($C$23:$Q$23,1/(1+$A45)^$C$24:$Q$24)+$Q$23*(1+E$44)/($A45-E$44)/(1+$A45)^15+$B$35-$B$36-$B$37)/Historicals!$E$25)</f>
        <v>2083.05405668851</v>
      </c>
      <c r="F45" s="102" t="n">
        <f aca="false">IF($A45&lt;=F$44,"n.m.",(SUMPRODUCT($C$23:$Q$23,1/(1+$A45)^$C$24:$Q$24)+$Q$23*(1+F$44)/($A45-F$44)/(1+$A45)^15+$B$35-$B$36-$B$37)/Historicals!$E$25)</f>
        <v>2456.35391136955</v>
      </c>
      <c r="G45" s="102" t="n">
        <f aca="false">IF($A45&lt;=G$44,"n.m.",(SUMPRODUCT($C$23:$Q$23,1/(1+$A45)^$C$24:$Q$24)+$Q$23*(1+G$44)/($A45-G$44)/(1+$A45)^15+$B$35-$B$36-$B$37)/Historicals!$E$25)</f>
        <v>4322.85318477476</v>
      </c>
      <c r="H45" s="102" t="str">
        <f aca="false">IF($A45&lt;=H$44,"n.m.",(SUMPRODUCT($C$23:$Q$23,1/(1+$A45)^$C$24:$Q$24)+$Q$23*(1+H$44)/($A45-H$44)/(1+$A45)^15+$B$35-$B$36-$B$37)/Historicals!$E$25)</f>
        <v>n.m.</v>
      </c>
    </row>
    <row r="46" customFormat="false" ht="15" hidden="false" customHeight="false" outlineLevel="0" collapsed="false">
      <c r="A46" s="109" t="n">
        <v>0.095</v>
      </c>
      <c r="B46" s="102" t="n">
        <f aca="false">IF($A46&lt;=B$44,"n.m.",(SUMPRODUCT($C$23:$Q$23,1/(1+$A46)^$C$24:$Q$24)+$Q$23*(1+B$44)/($A46-B$44)/(1+$A46)^15+$B$35-$B$36-$B$37)/Historicals!$E$25)</f>
        <v>1350.64638115061</v>
      </c>
      <c r="C46" s="102" t="n">
        <f aca="false">IF($A46&lt;=C$44,"n.m.",(SUMPRODUCT($C$23:$Q$23,1/(1+$A46)^$C$24:$Q$24)+$Q$23*(1+C$44)/($A46-C$44)/(1+$A46)^15+$B$35-$B$36-$B$37)/Historicals!$E$25)</f>
        <v>1447.9051175391</v>
      </c>
      <c r="D46" s="102" t="n">
        <f aca="false">IF($A46&lt;=D$44,"n.m.",(SUMPRODUCT($C$23:$Q$23,1/(1+$A46)^$C$24:$Q$24)+$Q$23*(1+D$44)/($A46-D$44)/(1+$A46)^15+$B$35-$B$36-$B$37)/Historicals!$E$25)</f>
        <v>1572.95206432431</v>
      </c>
      <c r="E46" s="102" t="n">
        <f aca="false">IF($A46&lt;=E$44,"n.m.",(SUMPRODUCT($C$23:$Q$23,1/(1+$A46)^$C$24:$Q$24)+$Q$23*(1+E$44)/($A46-E$44)/(1+$A46)^15+$B$35-$B$36-$B$37)/Historicals!$E$25)</f>
        <v>1739.68132670458</v>
      </c>
      <c r="F46" s="102" t="n">
        <f aca="false">IF($A46&lt;=F$44,"n.m.",(SUMPRODUCT($C$23:$Q$23,1/(1+$A46)^$C$24:$Q$24)+$Q$23*(1+F$44)/($A46-F$44)/(1+$A46)^15+$B$35-$B$36-$B$37)/Historicals!$E$25)</f>
        <v>1973.10229403696</v>
      </c>
      <c r="G46" s="102" t="n">
        <f aca="false">IF($A46&lt;=G$44,"n.m.",(SUMPRODUCT($C$23:$Q$23,1/(1+$A46)^$C$24:$Q$24)+$Q$23*(1+G$44)/($A46-G$44)/(1+$A46)^15+$B$35-$B$36-$B$37)/Historicals!$E$25)</f>
        <v>2906.78616336649</v>
      </c>
      <c r="H46" s="102" t="n">
        <f aca="false">IF($A46&lt;=H$44,"n.m.",(SUMPRODUCT($C$23:$Q$23,1/(1+$A46)^$C$24:$Q$24)+$Q$23*(1+H$44)/($A46-H$44)/(1+$A46)^15+$B$35-$B$36-$B$37)/Historicals!$E$25)</f>
        <v>7575.20551001412</v>
      </c>
    </row>
    <row r="47" customFormat="false" ht="15" hidden="false" customHeight="false" outlineLevel="0" collapsed="false">
      <c r="A47" s="109" t="n">
        <v>0.1</v>
      </c>
      <c r="B47" s="102" t="n">
        <f aca="false">IF($A47&lt;=B$44,"n.m.",(SUMPRODUCT($C$23:$Q$23,1/(1+$A47)^$C$24:$Q$24)+$Q$23*(1+B$44)/($A47-B$44)/(1+$A47)^15+$B$35-$B$36-$B$37)/Historicals!$E$25)</f>
        <v>1213.07022261114</v>
      </c>
      <c r="C47" s="102" t="n">
        <f aca="false">IF($A47&lt;=C$44,"n.m.",(SUMPRODUCT($C$23:$Q$23,1/(1+$A47)^$C$24:$Q$24)+$Q$23*(1+C$44)/($A47-C$44)/(1+$A47)^15+$B$35-$B$36-$B$37)/Historicals!$E$25)</f>
        <v>1286.06952099895</v>
      </c>
      <c r="D47" s="102" t="n">
        <f aca="false">IF($A47&lt;=D$44,"n.m.",(SUMPRODUCT($C$23:$Q$23,1/(1+$A47)^$C$24:$Q$24)+$Q$23*(1+D$44)/($A47-D$44)/(1+$A47)^15+$B$35-$B$36-$B$37)/Historicals!$E$25)</f>
        <v>1377.31864398372</v>
      </c>
      <c r="E47" s="102" t="n">
        <f aca="false">IF($A47&lt;=E$44,"n.m.",(SUMPRODUCT($C$23:$Q$23,1/(1+$A47)^$C$24:$Q$24)+$Q$23*(1+E$44)/($A47-E$44)/(1+$A47)^15+$B$35-$B$36-$B$37)/Historicals!$E$25)</f>
        <v>1494.63894496414</v>
      </c>
      <c r="F47" s="102" t="n">
        <f aca="false">IF($A47&lt;=F$44,"n.m.",(SUMPRODUCT($C$23:$Q$23,1/(1+$A47)^$C$24:$Q$24)+$Q$23*(1+F$44)/($A47-F$44)/(1+$A47)^15+$B$35-$B$36-$B$37)/Historicals!$E$25)</f>
        <v>1651.06601293804</v>
      </c>
      <c r="G47" s="102" t="n">
        <f aca="false">IF($A47&lt;=G$44,"n.m.",(SUMPRODUCT($C$23:$Q$23,1/(1+$A47)^$C$24:$Q$24)+$Q$23*(1+G$44)/($A47-G$44)/(1+$A47)^15+$B$35-$B$36-$B$37)/Historicals!$E$25)</f>
        <v>2198.56075084666</v>
      </c>
      <c r="H47" s="102" t="n">
        <f aca="false">IF($A47&lt;=H$44,"n.m.",(SUMPRODUCT($C$23:$Q$23,1/(1+$A47)^$C$24:$Q$24)+$Q$23*(1+H$44)/($A47-H$44)/(1+$A47)^15+$B$35-$B$36-$B$37)/Historicals!$E$25)</f>
        <v>3841.04496457253</v>
      </c>
    </row>
    <row r="48" customFormat="false" ht="15" hidden="false" customHeight="false" outlineLevel="0" collapsed="false">
      <c r="A48" s="109" t="n">
        <v>0.105</v>
      </c>
      <c r="B48" s="102" t="n">
        <f aca="false">IF($A48&lt;=B$44,"n.m.",(SUMPRODUCT($C$23:$Q$23,1/(1+$A48)^$C$24:$Q$24)+$Q$23*(1+B$44)/($A48-B$44)/(1+$A48)^15+$B$35-$B$36-$B$37)/Historicals!$E$25)</f>
        <v>1100.83707523979</v>
      </c>
      <c r="C48" s="102" t="n">
        <f aca="false">IF($A48&lt;=C$44,"n.m.",(SUMPRODUCT($C$23:$Q$23,1/(1+$A48)^$C$24:$Q$24)+$Q$23*(1+C$44)/($A48-C$44)/(1+$A48)^15+$B$35-$B$36-$B$37)/Historicals!$E$25)</f>
        <v>1156.8894749419</v>
      </c>
      <c r="D48" s="102" t="n">
        <f aca="false">IF($A48&lt;=D$44,"n.m.",(SUMPRODUCT($C$23:$Q$23,1/(1+$A48)^$C$24:$Q$24)+$Q$23*(1+D$44)/($A48-D$44)/(1+$A48)^15+$B$35-$B$36-$B$37)/Historicals!$E$25)</f>
        <v>1225.39796346671</v>
      </c>
      <c r="E48" s="102" t="n">
        <f aca="false">IF($A48&lt;=E$44,"n.m.",(SUMPRODUCT($C$23:$Q$23,1/(1+$A48)^$C$24:$Q$24)+$Q$23*(1+E$44)/($A48-E$44)/(1+$A48)^15+$B$35-$B$36-$B$37)/Historicals!$E$25)</f>
        <v>1311.03357412272</v>
      </c>
      <c r="F48" s="102" t="n">
        <f aca="false">IF($A48&lt;=F$44,"n.m.",(SUMPRODUCT($C$23:$Q$23,1/(1+$A48)^$C$24:$Q$24)+$Q$23*(1+F$44)/($A48-F$44)/(1+$A48)^15+$B$35-$B$36-$B$37)/Historicals!$E$25)</f>
        <v>1421.13650210902</v>
      </c>
      <c r="G48" s="102" t="n">
        <f aca="false">IF($A48&lt;=G$44,"n.m.",(SUMPRODUCT($C$23:$Q$23,1/(1+$A48)^$C$24:$Q$24)+$Q$23*(1+G$44)/($A48-G$44)/(1+$A48)^15+$B$35-$B$36-$B$37)/Historicals!$E$25)</f>
        <v>1773.46587166518</v>
      </c>
      <c r="H48" s="102" t="n">
        <f aca="false">IF($A48&lt;=H$44,"n.m.",(SUMPRODUCT($C$23:$Q$23,1/(1+$A48)^$C$24:$Q$24)+$Q$23*(1+H$44)/($A48-H$44)/(1+$A48)^15+$B$35-$B$36-$B$37)/Historicals!$E$25)</f>
        <v>2595.56773396289</v>
      </c>
    </row>
    <row r="49" customFormat="false" ht="15" hidden="false" customHeight="false" outlineLevel="0" collapsed="false">
      <c r="A49" s="109" t="n">
        <v>0.11</v>
      </c>
      <c r="B49" s="102" t="n">
        <f aca="false">IF($A49&lt;=B$44,"n.m.",(SUMPRODUCT($C$23:$Q$23,1/(1+$A49)^$C$24:$Q$24)+$Q$23*(1+B$44)/($A49-B$44)/(1+$A49)^15+$B$35-$B$36-$B$37)/Historicals!$E$25)</f>
        <v>1007.58976583172</v>
      </c>
      <c r="C49" s="102" t="n">
        <f aca="false">IF($A49&lt;=C$44,"n.m.",(SUMPRODUCT($C$23:$Q$23,1/(1+$A49)^$C$24:$Q$24)+$Q$23*(1+C$44)/($A49-C$44)/(1+$A49)^15+$B$35-$B$36-$B$37)/Historicals!$E$25)</f>
        <v>1051.43911517372</v>
      </c>
      <c r="D49" s="102" t="n">
        <f aca="false">IF($A49&lt;=D$44,"n.m.",(SUMPRODUCT($C$23:$Q$23,1/(1+$A49)^$C$24:$Q$24)+$Q$23*(1+D$44)/($A49-D$44)/(1+$A49)^15+$B$35-$B$36-$B$37)/Historicals!$E$25)</f>
        <v>1104.05833438413</v>
      </c>
      <c r="E49" s="102" t="n">
        <f aca="false">IF($A49&lt;=E$44,"n.m.",(SUMPRODUCT($C$23:$Q$23,1/(1+$A49)^$C$24:$Q$24)+$Q$23*(1+E$44)/($A49-E$44)/(1+$A49)^15+$B$35-$B$36-$B$37)/Historicals!$E$25)</f>
        <v>1168.37071341908</v>
      </c>
      <c r="F49" s="102" t="n">
        <f aca="false">IF($A49&lt;=F$44,"n.m.",(SUMPRODUCT($C$23:$Q$23,1/(1+$A49)^$C$24:$Q$24)+$Q$23*(1+F$44)/($A49-F$44)/(1+$A49)^15+$B$35-$B$36-$B$37)/Historicals!$E$25)</f>
        <v>1248.76118721276</v>
      </c>
      <c r="G49" s="102" t="n">
        <f aca="false">IF($A49&lt;=G$44,"n.m.",(SUMPRODUCT($C$23:$Q$23,1/(1+$A49)^$C$24:$Q$24)+$Q$23*(1+G$44)/($A49-G$44)/(1+$A49)^15+$B$35-$B$36-$B$37)/Historicals!$E$25)</f>
        <v>1489.9326085938</v>
      </c>
      <c r="H49" s="102" t="n">
        <f aca="false">IF($A49&lt;=H$44,"n.m.",(SUMPRODUCT($C$23:$Q$23,1/(1+$A49)^$C$24:$Q$24)+$Q$23*(1+H$44)/($A49-H$44)/(1+$A49)^15+$B$35-$B$36-$B$37)/Historicals!$E$25)</f>
        <v>1972.27545135587</v>
      </c>
    </row>
    <row r="50" customFormat="false" ht="15" hidden="false" customHeight="false" outlineLevel="0" collapsed="false">
      <c r="A50" s="109" t="n">
        <v>0.115</v>
      </c>
      <c r="B50" s="102" t="n">
        <f aca="false">IF($A50&lt;=B$44,"n.m.",(SUMPRODUCT($C$23:$Q$23,1/(1+$A50)^$C$24:$Q$24)+$Q$23*(1+B$44)/($A50-B$44)/(1+$A50)^15+$B$35-$B$36-$B$37)/Historicals!$E$25)</f>
        <v>928.928831621138</v>
      </c>
      <c r="C50" s="102" t="n">
        <f aca="false">IF($A50&lt;=C$44,"n.m.",(SUMPRODUCT($C$23:$Q$23,1/(1+$A50)^$C$24:$Q$24)+$Q$23*(1+C$44)/($A50-C$44)/(1+$A50)^15+$B$35-$B$36-$B$37)/Historicals!$E$25)</f>
        <v>963.769465351319</v>
      </c>
      <c r="D50" s="102" t="n">
        <f aca="false">IF($A50&lt;=D$44,"n.m.",(SUMPRODUCT($C$23:$Q$23,1/(1+$A50)^$C$24:$Q$24)+$Q$23*(1+D$44)/($A50-D$44)/(1+$A50)^15+$B$35-$B$36-$B$37)/Historicals!$E$25)</f>
        <v>1004.94475975972</v>
      </c>
      <c r="E50" s="102" t="n">
        <f aca="false">IF($A50&lt;=E$44,"n.m.",(SUMPRODUCT($C$23:$Q$23,1/(1+$A50)^$C$24:$Q$24)+$Q$23*(1+E$44)/($A50-E$44)/(1+$A50)^15+$B$35-$B$36-$B$37)/Historicals!$E$25)</f>
        <v>1054.35511304979</v>
      </c>
      <c r="F50" s="102" t="n">
        <f aca="false">IF($A50&lt;=F$44,"n.m.",(SUMPRODUCT($C$23:$Q$23,1/(1+$A50)^$C$24:$Q$24)+$Q$23*(1+F$44)/($A50-F$44)/(1+$A50)^15+$B$35-$B$36-$B$37)/Historicals!$E$25)</f>
        <v>1114.74554484877</v>
      </c>
      <c r="G50" s="102" t="n">
        <f aca="false">IF($A50&lt;=G$44,"n.m.",(SUMPRODUCT($C$23:$Q$23,1/(1+$A50)^$C$24:$Q$24)+$Q$23*(1+G$44)/($A50-G$44)/(1+$A50)^15+$B$35-$B$36-$B$37)/Historicals!$E$25)</f>
        <v>1287.289635703</v>
      </c>
      <c r="H50" s="102" t="n">
        <f aca="false">IF($A50&lt;=H$44,"n.m.",(SUMPRODUCT($C$23:$Q$23,1/(1+$A50)^$C$24:$Q$24)+$Q$23*(1+H$44)/($A50-H$44)/(1+$A50)^15+$B$35-$B$36-$B$37)/Historicals!$E$25)</f>
        <v>1597.86899924062</v>
      </c>
    </row>
    <row r="52" customFormat="false" ht="15" hidden="false" customHeight="false" outlineLevel="0" collapsed="false">
      <c r="A52" s="4" t="s">
        <v>552</v>
      </c>
      <c r="B52" s="5"/>
      <c r="C52" s="5"/>
      <c r="D52" s="5"/>
      <c r="E52" s="5"/>
      <c r="F52" s="5"/>
      <c r="G52" s="5"/>
      <c r="H52" s="5"/>
    </row>
    <row r="53" customFormat="false" ht="15" hidden="false" customHeight="false" outlineLevel="0" collapsed="false">
      <c r="A53" s="26" t="s">
        <v>553</v>
      </c>
      <c r="B53" s="110" t="n">
        <v>0.0914</v>
      </c>
    </row>
    <row r="54" customFormat="false" ht="15" hidden="false" customHeight="false" outlineLevel="0" collapsed="false">
      <c r="A54" s="26" t="s">
        <v>554</v>
      </c>
      <c r="B54" s="110" t="n">
        <v>0.0824</v>
      </c>
    </row>
    <row r="55" customFormat="false" ht="15" hidden="false" customHeight="false" outlineLevel="0" collapsed="false">
      <c r="A55" s="3" t="s">
        <v>555</v>
      </c>
    </row>
  </sheetData>
  <conditionalFormatting sqref="B45:H50">
    <cfRule type="expression" priority="2" aboveAverage="0" equalAverage="0" bottom="0" percent="0" rank="0" text="" dxfId="0">
      <formula>AND(ISNUMBER(B45),B45&gt;=$B$34)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1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33" t="s">
        <v>556</v>
      </c>
    </row>
    <row r="2" customFormat="false" ht="15" hidden="false" customHeight="false" outlineLevel="0" collapsed="false">
      <c r="A2" s="3" t="s">
        <v>557</v>
      </c>
    </row>
    <row r="3" customFormat="false" ht="15" hidden="false" customHeight="false" outlineLevel="0" collapsed="false">
      <c r="B3" s="111" t="s">
        <v>558</v>
      </c>
      <c r="C3" s="111"/>
      <c r="D3" s="112" t="s">
        <v>559</v>
      </c>
      <c r="E3" s="112"/>
      <c r="F3" s="113" t="s">
        <v>560</v>
      </c>
      <c r="G3" s="113"/>
    </row>
    <row r="4" customFormat="false" ht="30" hidden="false" customHeight="true" outlineLevel="0" collapsed="false">
      <c r="A4" s="14" t="s">
        <v>561</v>
      </c>
      <c r="B4" s="15" t="s">
        <v>562</v>
      </c>
      <c r="C4" s="15" t="s">
        <v>563</v>
      </c>
      <c r="D4" s="114" t="s">
        <v>564</v>
      </c>
      <c r="E4" s="15" t="s">
        <v>565</v>
      </c>
      <c r="F4" s="114" t="s">
        <v>566</v>
      </c>
      <c r="G4" s="15" t="s">
        <v>567</v>
      </c>
      <c r="H4" s="15" t="s">
        <v>568</v>
      </c>
    </row>
    <row r="5" customFormat="false" ht="15" hidden="false" customHeight="false" outlineLevel="0" collapsed="false">
      <c r="A5" s="4" t="s">
        <v>569</v>
      </c>
      <c r="B5" s="5"/>
      <c r="C5" s="5"/>
      <c r="D5" s="54"/>
      <c r="E5" s="5"/>
      <c r="F5" s="54"/>
      <c r="G5" s="5"/>
      <c r="H5" s="5"/>
    </row>
    <row r="6" customFormat="false" ht="15" hidden="false" customHeight="false" outlineLevel="0" collapsed="false">
      <c r="A6" s="6" t="s">
        <v>49</v>
      </c>
      <c r="B6" s="36" t="n">
        <v>0.06</v>
      </c>
      <c r="C6" s="36" t="n">
        <v>0.05</v>
      </c>
      <c r="D6" s="56" t="n">
        <f aca="false">Assumptions!B6</f>
        <v>0.09</v>
      </c>
      <c r="E6" s="55" t="n">
        <f aca="false">Assumptions!C6</f>
        <v>0.08</v>
      </c>
      <c r="F6" s="115" t="n">
        <v>0.1</v>
      </c>
      <c r="G6" s="36" t="n">
        <v>0.1</v>
      </c>
      <c r="H6" s="57" t="s">
        <v>570</v>
      </c>
    </row>
    <row r="7" customFormat="false" ht="15" hidden="false" customHeight="false" outlineLevel="0" collapsed="false">
      <c r="A7" s="6" t="s">
        <v>51</v>
      </c>
      <c r="B7" s="36" t="n">
        <v>0.03</v>
      </c>
      <c r="C7" s="36" t="n">
        <v>-0.01</v>
      </c>
      <c r="D7" s="56" t="n">
        <f aca="false">Assumptions!B7</f>
        <v>0.05</v>
      </c>
      <c r="E7" s="55" t="n">
        <f aca="false">Assumptions!C7</f>
        <v>0.01</v>
      </c>
      <c r="F7" s="115" t="n">
        <v>0.06</v>
      </c>
      <c r="G7" s="36" t="n">
        <v>0.02</v>
      </c>
      <c r="H7" s="57" t="s">
        <v>571</v>
      </c>
    </row>
    <row r="8" customFormat="false" ht="15" hidden="false" customHeight="false" outlineLevel="0" collapsed="false">
      <c r="A8" s="6" t="s">
        <v>53</v>
      </c>
      <c r="B8" s="36" t="n">
        <v>0.08</v>
      </c>
      <c r="C8" s="36" t="n">
        <v>0.06</v>
      </c>
      <c r="D8" s="56" t="n">
        <f aca="false">Assumptions!B8</f>
        <v>0.12</v>
      </c>
      <c r="E8" s="55" t="n">
        <f aca="false">Assumptions!C8</f>
        <v>0.09</v>
      </c>
      <c r="F8" s="115" t="n">
        <v>0.15</v>
      </c>
      <c r="G8" s="36" t="n">
        <v>0.1</v>
      </c>
      <c r="H8" s="57" t="s">
        <v>572</v>
      </c>
    </row>
    <row r="9" customFormat="false" ht="15" hidden="false" customHeight="false" outlineLevel="0" collapsed="false">
      <c r="A9" s="6" t="s">
        <v>55</v>
      </c>
      <c r="B9" s="36" t="n">
        <v>0.1</v>
      </c>
      <c r="C9" s="36" t="n">
        <v>0.08</v>
      </c>
      <c r="D9" s="56" t="n">
        <f aca="false">Assumptions!B9</f>
        <v>0.14</v>
      </c>
      <c r="E9" s="55" t="n">
        <f aca="false">Assumptions!C9</f>
        <v>0.1</v>
      </c>
      <c r="F9" s="115" t="n">
        <v>0.16</v>
      </c>
      <c r="G9" s="36" t="n">
        <v>0.12</v>
      </c>
      <c r="H9" s="57" t="s">
        <v>573</v>
      </c>
    </row>
    <row r="10" customFormat="false" ht="15" hidden="false" customHeight="false" outlineLevel="0" collapsed="false">
      <c r="A10" s="6" t="s">
        <v>57</v>
      </c>
      <c r="B10" s="36" t="n">
        <v>0.415</v>
      </c>
      <c r="C10" s="36" t="n">
        <v>0.42</v>
      </c>
      <c r="D10" s="56" t="n">
        <f aca="false">Assumptions!B12</f>
        <v>0.428</v>
      </c>
      <c r="E10" s="55" t="n">
        <f aca="false">Assumptions!C12</f>
        <v>0.435</v>
      </c>
      <c r="F10" s="115" t="n">
        <v>0.435</v>
      </c>
      <c r="G10" s="36" t="n">
        <v>0.444</v>
      </c>
      <c r="H10" s="57" t="s">
        <v>574</v>
      </c>
    </row>
    <row r="11" customFormat="false" ht="15" hidden="false" customHeight="false" outlineLevel="0" collapsed="false">
      <c r="A11" s="6" t="s">
        <v>59</v>
      </c>
      <c r="B11" s="36" t="n">
        <v>0.076</v>
      </c>
      <c r="C11" s="36" t="n">
        <v>0.076</v>
      </c>
      <c r="D11" s="56" t="n">
        <f aca="false">Assumptions!B13</f>
        <v>0.075</v>
      </c>
      <c r="E11" s="55" t="n">
        <f aca="false">Assumptions!C13</f>
        <v>0.074</v>
      </c>
      <c r="F11" s="115" t="n">
        <v>0.074</v>
      </c>
      <c r="G11" s="36" t="n">
        <v>0.072</v>
      </c>
      <c r="H11" s="57" t="s">
        <v>575</v>
      </c>
    </row>
    <row r="12" customFormat="false" ht="15" hidden="false" customHeight="false" outlineLevel="0" collapsed="false">
      <c r="A12" s="6" t="s">
        <v>61</v>
      </c>
      <c r="B12" s="36" t="n">
        <v>0.168</v>
      </c>
      <c r="C12" s="36" t="n">
        <v>0.168</v>
      </c>
      <c r="D12" s="56" t="n">
        <f aca="false">Assumptions!B14</f>
        <v>0.166</v>
      </c>
      <c r="E12" s="55" t="n">
        <f aca="false">Assumptions!C14</f>
        <v>0.166</v>
      </c>
      <c r="F12" s="115" t="n">
        <v>0.164</v>
      </c>
      <c r="G12" s="36" t="n">
        <v>0.163</v>
      </c>
      <c r="H12" s="57" t="s">
        <v>576</v>
      </c>
    </row>
    <row r="13" customFormat="false" ht="15" hidden="false" customHeight="false" outlineLevel="0" collapsed="false">
      <c r="A13" s="6" t="s">
        <v>73</v>
      </c>
      <c r="C13" s="116" t="n">
        <v>40</v>
      </c>
      <c r="D13" s="63"/>
      <c r="E13" s="91" t="n">
        <f aca="false">Assumptions!B32</f>
        <v>45</v>
      </c>
      <c r="F13" s="63"/>
      <c r="G13" s="116" t="n">
        <v>52</v>
      </c>
      <c r="H13" s="57" t="s">
        <v>577</v>
      </c>
    </row>
    <row r="14" customFormat="false" ht="15" hidden="false" customHeight="false" outlineLevel="0" collapsed="false">
      <c r="A14" s="4" t="s">
        <v>578</v>
      </c>
      <c r="B14" s="5"/>
      <c r="C14" s="5"/>
      <c r="D14" s="54"/>
      <c r="E14" s="5"/>
      <c r="F14" s="54"/>
      <c r="G14" s="5"/>
      <c r="H14" s="5"/>
    </row>
    <row r="15" customFormat="false" ht="15" hidden="false" customHeight="false" outlineLevel="0" collapsed="false">
      <c r="A15" s="6" t="s">
        <v>310</v>
      </c>
      <c r="B15" s="44" t="n">
        <f aca="false">Historicals!$E$40*(1+B6)*(1+B7)</f>
        <v>33660.63072</v>
      </c>
      <c r="C15" s="44" t="n">
        <f aca="false">B15*(1+C6)*(1+C7)</f>
        <v>34990.22563344</v>
      </c>
      <c r="D15" s="60" t="n">
        <f aca="false">Historicals!$E$40*(1+D6)*(1+D7)</f>
        <v>35285.3928</v>
      </c>
      <c r="E15" s="44" t="n">
        <f aca="false">D15*(1+E6)*(1+E7)</f>
        <v>38489.30646624</v>
      </c>
      <c r="F15" s="60" t="n">
        <f aca="false">Historicals!$E$40*(1+F6)*(1+F7)</f>
        <v>35948.2464</v>
      </c>
      <c r="G15" s="44" t="n">
        <f aca="false">F15*(1+G6)*(1+G7)</f>
        <v>40333.9324608</v>
      </c>
    </row>
    <row r="16" customFormat="false" ht="15" hidden="false" customHeight="false" outlineLevel="0" collapsed="false">
      <c r="A16" s="6" t="s">
        <v>311</v>
      </c>
      <c r="B16" s="44" t="n">
        <f aca="false">Historicals!$E$41*(1+B8)</f>
        <v>3621.888</v>
      </c>
      <c r="C16" s="44" t="n">
        <f aca="false">B16*(1+C8)</f>
        <v>3839.20128</v>
      </c>
      <c r="D16" s="60" t="n">
        <f aca="false">Historicals!$E$41*(1+D8)</f>
        <v>3756.032</v>
      </c>
      <c r="E16" s="44" t="n">
        <f aca="false">D16*(1+E8)</f>
        <v>4094.07488</v>
      </c>
      <c r="F16" s="60" t="n">
        <f aca="false">Historicals!$E$41*(1+F8)</f>
        <v>3856.64</v>
      </c>
      <c r="G16" s="44" t="n">
        <f aca="false">F16*(1+G8)</f>
        <v>4242.304</v>
      </c>
    </row>
    <row r="17" customFormat="false" ht="15" hidden="false" customHeight="false" outlineLevel="0" collapsed="false">
      <c r="A17" s="6" t="s">
        <v>313</v>
      </c>
      <c r="B17" s="44" t="n">
        <f aca="false">Historicals!$E$42*(1+B9)</f>
        <v>1465.64</v>
      </c>
      <c r="C17" s="44" t="n">
        <f aca="false">B17*(1+C9)</f>
        <v>1582.8912</v>
      </c>
      <c r="D17" s="60" t="n">
        <f aca="false">Historicals!$E$42*(1+D9)</f>
        <v>1518.936</v>
      </c>
      <c r="E17" s="44" t="n">
        <f aca="false">D17*(1+E9)</f>
        <v>1670.8296</v>
      </c>
      <c r="F17" s="60" t="n">
        <f aca="false">Historicals!$E$42*(1+F9)</f>
        <v>1545.584</v>
      </c>
      <c r="G17" s="44" t="n">
        <f aca="false">F17*(1+G9)</f>
        <v>1731.05408</v>
      </c>
    </row>
    <row r="18" customFormat="false" ht="15" hidden="false" customHeight="false" outlineLevel="0" collapsed="false">
      <c r="A18" s="6" t="s">
        <v>278</v>
      </c>
      <c r="B18" s="44" t="n">
        <f aca="false">Assumptions!$B$10</f>
        <v>67.2</v>
      </c>
      <c r="C18" s="44" t="n">
        <f aca="false">Assumptions!$C$10</f>
        <v>67.2</v>
      </c>
      <c r="D18" s="60" t="n">
        <f aca="false">Assumptions!$B$10</f>
        <v>67.2</v>
      </c>
      <c r="E18" s="44" t="n">
        <f aca="false">Assumptions!$C$10</f>
        <v>67.2</v>
      </c>
      <c r="F18" s="60" t="n">
        <f aca="false">Assumptions!$B$10</f>
        <v>67.2</v>
      </c>
      <c r="G18" s="44" t="n">
        <f aca="false">Assumptions!$C$10</f>
        <v>67.2</v>
      </c>
    </row>
    <row r="19" customFormat="false" ht="15" hidden="false" customHeight="false" outlineLevel="0" collapsed="false">
      <c r="A19" s="26" t="s">
        <v>217</v>
      </c>
      <c r="B19" s="45" t="n">
        <f aca="false">SUM(B15:B18)</f>
        <v>38815.35872</v>
      </c>
      <c r="C19" s="45" t="n">
        <f aca="false">SUM(C15:C18)</f>
        <v>40479.51811344</v>
      </c>
      <c r="D19" s="62" t="n">
        <f aca="false">SUM(D15:D18)</f>
        <v>40627.5608</v>
      </c>
      <c r="E19" s="45" t="n">
        <f aca="false">SUM(E15:E18)</f>
        <v>44321.41094624</v>
      </c>
      <c r="F19" s="62" t="n">
        <f aca="false">SUM(F15:F18)</f>
        <v>41417.6704</v>
      </c>
      <c r="G19" s="45" t="n">
        <f aca="false">SUM(G15:G18)</f>
        <v>46374.4905408</v>
      </c>
    </row>
    <row r="20" customFormat="false" ht="15" hidden="false" customHeight="false" outlineLevel="0" collapsed="false">
      <c r="A20" s="26" t="s">
        <v>579</v>
      </c>
      <c r="B20" s="45" t="n">
        <f aca="false">B19*(B10-B11-B12)</f>
        <v>6637.42634112</v>
      </c>
      <c r="C20" s="45" t="n">
        <f aca="false">C19*(C10-C11-C12)</f>
        <v>7124.39518796544</v>
      </c>
      <c r="D20" s="62" t="n">
        <f aca="false">D19*(D10-D11-D12)</f>
        <v>7597.3538696</v>
      </c>
      <c r="E20" s="45" t="n">
        <f aca="false">E19*(E10-E11-E12)</f>
        <v>8642.6751345168</v>
      </c>
      <c r="F20" s="62" t="n">
        <f aca="false">F19*(F10-F11-F12)</f>
        <v>8159.2810688</v>
      </c>
      <c r="G20" s="45" t="n">
        <f aca="false">G19*(G10-G11-G12)</f>
        <v>9692.2685230272</v>
      </c>
    </row>
    <row r="21" customFormat="false" ht="15" hidden="false" customHeight="false" outlineLevel="0" collapsed="false">
      <c r="A21" s="6" t="s">
        <v>39</v>
      </c>
      <c r="B21" s="49" t="n">
        <f aca="false">B20/B19</f>
        <v>0.171</v>
      </c>
      <c r="C21" s="49" t="n">
        <f aca="false">C20/C19</f>
        <v>0.176</v>
      </c>
      <c r="D21" s="58" t="n">
        <f aca="false">D20/D19</f>
        <v>0.187</v>
      </c>
      <c r="E21" s="49" t="n">
        <f aca="false">E20/E19</f>
        <v>0.195</v>
      </c>
      <c r="F21" s="58" t="n">
        <f aca="false">F20/F19</f>
        <v>0.197</v>
      </c>
      <c r="G21" s="49" t="n">
        <f aca="false">G20/G19</f>
        <v>0.209</v>
      </c>
    </row>
    <row r="22" customFormat="false" ht="15" hidden="false" customHeight="false" outlineLevel="0" collapsed="false">
      <c r="A22" s="6" t="s">
        <v>320</v>
      </c>
      <c r="B22" s="44" t="n">
        <f aca="false">B19*Assumptions!$B$15</f>
        <v>1319.72219648</v>
      </c>
      <c r="C22" s="44" t="n">
        <f aca="false">C19*Assumptions!$C$15</f>
        <v>1376.30361585696</v>
      </c>
      <c r="D22" s="60" t="n">
        <f aca="false">D19*Assumptions!$B$15</f>
        <v>1381.3370672</v>
      </c>
      <c r="E22" s="44" t="n">
        <f aca="false">E19*Assumptions!$C$15</f>
        <v>1506.92797217216</v>
      </c>
      <c r="F22" s="60" t="n">
        <f aca="false">F19*Assumptions!$B$15</f>
        <v>1408.2007936</v>
      </c>
      <c r="G22" s="44" t="n">
        <f aca="false">G19*Assumptions!$C$15</f>
        <v>1576.7326783872</v>
      </c>
    </row>
    <row r="23" customFormat="false" ht="15" hidden="false" customHeight="false" outlineLevel="0" collapsed="false">
      <c r="A23" s="6" t="s">
        <v>238</v>
      </c>
      <c r="B23" s="44" t="n">
        <f aca="false">B19*Assumptions!$B$16</f>
        <v>698.67645696</v>
      </c>
      <c r="C23" s="44" t="n">
        <f aca="false">C19*Assumptions!$C$16</f>
        <v>728.63132604192</v>
      </c>
      <c r="D23" s="60" t="n">
        <f aca="false">D19*Assumptions!$B$16</f>
        <v>731.2960944</v>
      </c>
      <c r="E23" s="44" t="n">
        <f aca="false">E19*Assumptions!$C$16</f>
        <v>797.78539703232</v>
      </c>
      <c r="F23" s="60" t="n">
        <f aca="false">F19*Assumptions!$B$16</f>
        <v>745.5180672</v>
      </c>
      <c r="G23" s="44" t="n">
        <f aca="false">G19*Assumptions!$C$16</f>
        <v>834.7408297344</v>
      </c>
    </row>
    <row r="24" customFormat="false" ht="15" hidden="false" customHeight="false" outlineLevel="0" collapsed="false">
      <c r="A24" s="6" t="s">
        <v>239</v>
      </c>
      <c r="B24" s="44" t="n">
        <f aca="false">Assumptions!$B$17</f>
        <v>200</v>
      </c>
      <c r="C24" s="44" t="n">
        <f aca="false">Assumptions!$C$17</f>
        <v>200</v>
      </c>
      <c r="D24" s="60" t="n">
        <f aca="false">Assumptions!$B$17</f>
        <v>200</v>
      </c>
      <c r="E24" s="44" t="n">
        <f aca="false">Assumptions!$C$17</f>
        <v>200</v>
      </c>
      <c r="F24" s="60" t="n">
        <f aca="false">Assumptions!$B$17</f>
        <v>200</v>
      </c>
      <c r="G24" s="44" t="n">
        <f aca="false">Assumptions!$C$17</f>
        <v>200</v>
      </c>
    </row>
    <row r="25" customFormat="false" ht="15" hidden="false" customHeight="false" outlineLevel="0" collapsed="false">
      <c r="A25" s="6" t="s">
        <v>580</v>
      </c>
      <c r="B25" s="44" t="n">
        <f aca="false">B20-B22+B23-B24</f>
        <v>5816.3806016</v>
      </c>
      <c r="C25" s="44" t="n">
        <f aca="false">C20-C22+C23-C24</f>
        <v>6276.7228981504</v>
      </c>
      <c r="D25" s="60" t="n">
        <f aca="false">D20-D22+D23-D24</f>
        <v>6747.3128968</v>
      </c>
      <c r="E25" s="44" t="n">
        <f aca="false">E20-E22+E23-E24</f>
        <v>7733.53255937696</v>
      </c>
      <c r="F25" s="60" t="n">
        <f aca="false">F20-F22+F23-F24</f>
        <v>7296.5983424</v>
      </c>
      <c r="G25" s="44" t="n">
        <f aca="false">G20-G22+G23-G24</f>
        <v>8750.2766743744</v>
      </c>
    </row>
    <row r="26" customFormat="false" ht="15" hidden="false" customHeight="false" outlineLevel="0" collapsed="false">
      <c r="A26" s="26" t="s">
        <v>327</v>
      </c>
      <c r="B26" s="45" t="n">
        <f aca="false">B25*(1-Assumptions!$B$18)+Assumptions!$B$19</f>
        <v>4404.121645184</v>
      </c>
      <c r="C26" s="45" t="n">
        <f aca="false">C25*(1-Assumptions!$C$18)+Assumptions!$C$19</f>
        <v>4744.7749446313</v>
      </c>
      <c r="D26" s="62" t="n">
        <f aca="false">D25*(1-Assumptions!$B$18)+Assumptions!$B$19</f>
        <v>5093.011543632</v>
      </c>
      <c r="E26" s="45" t="n">
        <f aca="false">E25*(1-Assumptions!$C$18)+Assumptions!$C$19</f>
        <v>5822.81409393895</v>
      </c>
      <c r="F26" s="62" t="n">
        <f aca="false">F25*(1-Assumptions!$B$18)+Assumptions!$B$19</f>
        <v>5499.482773376</v>
      </c>
      <c r="G26" s="45" t="n">
        <f aca="false">G25*(1-Assumptions!$C$18)+Assumptions!$C$19</f>
        <v>6575.20473903706</v>
      </c>
    </row>
    <row r="27" customFormat="false" ht="15" hidden="false" customHeight="false" outlineLevel="0" collapsed="false">
      <c r="A27" s="26" t="s">
        <v>41</v>
      </c>
      <c r="B27" s="47" t="n">
        <f aca="false">B26/Historicals!$E$25</f>
        <v>45.9145292450375</v>
      </c>
      <c r="C27" s="47" t="n">
        <f aca="false">C26/Historicals!$E$25</f>
        <v>49.465960640443</v>
      </c>
      <c r="D27" s="67" t="n">
        <f aca="false">D26/Historicals!$E$25</f>
        <v>53.0964506216847</v>
      </c>
      <c r="E27" s="47" t="n">
        <f aca="false">E26/Historicals!$E$25</f>
        <v>60.704900895944</v>
      </c>
      <c r="F27" s="67" t="n">
        <f aca="false">F26/Historicals!$E$25</f>
        <v>57.334057270392</v>
      </c>
      <c r="G27" s="47" t="n">
        <f aca="false">G26/Historicals!$E$25</f>
        <v>68.5488400650235</v>
      </c>
    </row>
    <row r="29" customFormat="false" ht="15" hidden="false" customHeight="false" outlineLevel="0" collapsed="false">
      <c r="A29" s="4" t="s">
        <v>581</v>
      </c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14" t="s">
        <v>47</v>
      </c>
      <c r="B30" s="15" t="s">
        <v>31</v>
      </c>
      <c r="C30" s="15" t="s">
        <v>32</v>
      </c>
      <c r="D30" s="15" t="s">
        <v>33</v>
      </c>
    </row>
    <row r="31" customFormat="false" ht="15" hidden="false" customHeight="false" outlineLevel="0" collapsed="false">
      <c r="A31" s="6" t="s">
        <v>582</v>
      </c>
      <c r="B31" s="44" t="n">
        <f aca="false">C19</f>
        <v>40479.51811344</v>
      </c>
      <c r="C31" s="44" t="n">
        <f aca="false">E19</f>
        <v>44321.41094624</v>
      </c>
      <c r="D31" s="44" t="n">
        <f aca="false">G19</f>
        <v>46374.4905408</v>
      </c>
    </row>
    <row r="32" customFormat="false" ht="15" hidden="false" customHeight="false" outlineLevel="0" collapsed="false">
      <c r="A32" s="6" t="s">
        <v>583</v>
      </c>
      <c r="B32" s="44" t="n">
        <f aca="false">C20</f>
        <v>7124.39518796544</v>
      </c>
      <c r="C32" s="44" t="n">
        <f aca="false">E20</f>
        <v>8642.6751345168</v>
      </c>
      <c r="D32" s="44" t="n">
        <f aca="false">G20</f>
        <v>9692.2685230272</v>
      </c>
    </row>
    <row r="33" customFormat="false" ht="15" hidden="false" customHeight="false" outlineLevel="0" collapsed="false">
      <c r="A33" s="6" t="s">
        <v>39</v>
      </c>
      <c r="B33" s="49" t="n">
        <f aca="false">C21</f>
        <v>0.176</v>
      </c>
      <c r="C33" s="49" t="n">
        <f aca="false">E21</f>
        <v>0.195</v>
      </c>
      <c r="D33" s="49" t="n">
        <f aca="false">G21</f>
        <v>0.209</v>
      </c>
    </row>
    <row r="34" customFormat="false" ht="15" hidden="false" customHeight="false" outlineLevel="0" collapsed="false">
      <c r="A34" s="6" t="s">
        <v>41</v>
      </c>
      <c r="B34" s="76" t="n">
        <f aca="false">C27</f>
        <v>49.465960640443</v>
      </c>
      <c r="C34" s="76" t="n">
        <f aca="false">E27</f>
        <v>60.704900895944</v>
      </c>
      <c r="D34" s="76" t="n">
        <f aca="false">G27</f>
        <v>68.5488400650235</v>
      </c>
    </row>
    <row r="35" customFormat="false" ht="15" hidden="false" customHeight="false" outlineLevel="0" collapsed="false">
      <c r="A35" s="6" t="s">
        <v>42</v>
      </c>
      <c r="B35" s="75" t="n">
        <f aca="false">C13</f>
        <v>40</v>
      </c>
      <c r="C35" s="75" t="n">
        <f aca="false">E13</f>
        <v>45</v>
      </c>
      <c r="D35" s="75" t="n">
        <f aca="false">G13</f>
        <v>52</v>
      </c>
    </row>
    <row r="36" customFormat="false" ht="15" hidden="false" customHeight="false" outlineLevel="0" collapsed="false">
      <c r="A36" s="26" t="s">
        <v>43</v>
      </c>
      <c r="B36" s="96" t="n">
        <f aca="false">ROUND(B34*B35,-1)</f>
        <v>1980</v>
      </c>
      <c r="C36" s="96" t="n">
        <f aca="false">ROUND(C34*C35,-1)</f>
        <v>2730</v>
      </c>
      <c r="D36" s="96" t="n">
        <f aca="false">ROUND(D34*D35,-1)</f>
        <v>3560</v>
      </c>
    </row>
    <row r="37" customFormat="false" ht="15" hidden="false" customHeight="false" outlineLevel="0" collapsed="false">
      <c r="A37" s="26" t="s">
        <v>548</v>
      </c>
      <c r="B37" s="50" t="n">
        <f aca="false">B36/Assumptions!$B$33-1</f>
        <v>-0.193154034229829</v>
      </c>
      <c r="C37" s="50" t="n">
        <f aca="false">C36/Assumptions!$B$33-1</f>
        <v>0.112469437652812</v>
      </c>
      <c r="D37" s="50" t="n">
        <f aca="false">D36/Assumptions!$B$33-1</f>
        <v>0.450692746536267</v>
      </c>
    </row>
    <row r="38" customFormat="false" ht="15" hidden="false" customHeight="false" outlineLevel="0" collapsed="false">
      <c r="A38" s="6" t="s">
        <v>584</v>
      </c>
      <c r="B38" s="36" t="n">
        <v>0.25</v>
      </c>
      <c r="C38" s="36" t="n">
        <v>0.5</v>
      </c>
      <c r="D38" s="36" t="n">
        <v>0.25</v>
      </c>
    </row>
    <row r="39" customFormat="false" ht="15" hidden="false" customHeight="false" outlineLevel="0" collapsed="false">
      <c r="A39" s="26" t="s">
        <v>585</v>
      </c>
      <c r="B39" s="96" t="n">
        <f aca="false">ROUND(SUMPRODUCT(B36:D36,B38:D38),-1)</f>
        <v>2750</v>
      </c>
    </row>
    <row r="40" customFormat="false" ht="15" hidden="false" customHeight="false" outlineLevel="0" collapsed="false">
      <c r="A40" s="6" t="s">
        <v>586</v>
      </c>
      <c r="B40" s="49" t="n">
        <f aca="false">B39/Assumptions!$B$33-1</f>
        <v>0.120619396903015</v>
      </c>
    </row>
    <row r="42" customFormat="false" ht="30" hidden="false" customHeight="true" outlineLevel="0" collapsed="false">
      <c r="A42" s="90" t="s">
        <v>587</v>
      </c>
      <c r="B42" s="90"/>
      <c r="C42" s="90"/>
      <c r="D42" s="90"/>
      <c r="E42" s="90"/>
      <c r="F42" s="90"/>
      <c r="G42" s="90"/>
      <c r="H42" s="90"/>
    </row>
    <row r="43" customFormat="false" ht="30" hidden="false" customHeight="true" outlineLevel="0" collapsed="false">
      <c r="A43" s="90" t="s">
        <v>588</v>
      </c>
      <c r="B43" s="90"/>
      <c r="C43" s="90"/>
      <c r="D43" s="90"/>
      <c r="E43" s="90"/>
      <c r="F43" s="90"/>
      <c r="G43" s="90"/>
      <c r="H43" s="90"/>
    </row>
    <row r="44" customFormat="false" ht="30" hidden="false" customHeight="true" outlineLevel="0" collapsed="false">
      <c r="A44" s="90" t="s">
        <v>589</v>
      </c>
      <c r="B44" s="90"/>
      <c r="C44" s="90"/>
      <c r="D44" s="90"/>
      <c r="E44" s="90"/>
      <c r="F44" s="90"/>
      <c r="G44" s="90"/>
      <c r="H44" s="90"/>
    </row>
  </sheetData>
  <mergeCells count="6">
    <mergeCell ref="B3:C3"/>
    <mergeCell ref="D3:E3"/>
    <mergeCell ref="F3:G3"/>
    <mergeCell ref="A42:H42"/>
    <mergeCell ref="A43:H43"/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33" t="s">
        <v>590</v>
      </c>
    </row>
    <row r="2" customFormat="false" ht="15" hidden="false" customHeight="false" outlineLevel="0" collapsed="false">
      <c r="A2" s="3" t="s">
        <v>591</v>
      </c>
    </row>
    <row r="4" customFormat="false" ht="24" hidden="false" customHeight="true" outlineLevel="0" collapsed="false">
      <c r="A4" s="14" t="s">
        <v>30</v>
      </c>
      <c r="B4" s="15" t="s">
        <v>592</v>
      </c>
      <c r="C4" s="15" t="s">
        <v>593</v>
      </c>
      <c r="D4" s="15" t="s">
        <v>594</v>
      </c>
      <c r="E4" s="15" t="s">
        <v>595</v>
      </c>
      <c r="F4" s="15" t="s">
        <v>596</v>
      </c>
      <c r="G4" s="15" t="s">
        <v>597</v>
      </c>
    </row>
    <row r="5" customFormat="false" ht="15" hidden="false" customHeight="false" outlineLevel="0" collapsed="false">
      <c r="A5" s="6" t="s">
        <v>598</v>
      </c>
      <c r="B5" s="117" t="s">
        <v>599</v>
      </c>
      <c r="C5" s="117" t="s">
        <v>600</v>
      </c>
      <c r="D5" s="117" t="s">
        <v>601</v>
      </c>
      <c r="E5" s="117" t="s">
        <v>602</v>
      </c>
      <c r="F5" s="117" t="s">
        <v>603</v>
      </c>
    </row>
    <row r="6" customFormat="false" ht="15" hidden="false" customHeight="false" outlineLevel="0" collapsed="false">
      <c r="A6" s="6" t="s">
        <v>604</v>
      </c>
      <c r="B6" s="37" t="n">
        <v>8939</v>
      </c>
      <c r="C6" s="37" t="n">
        <v>8531.3</v>
      </c>
      <c r="D6" s="37" t="n">
        <v>8867</v>
      </c>
      <c r="E6" s="37" t="n">
        <v>9246.7</v>
      </c>
      <c r="F6" s="37" t="n">
        <v>10541.9</v>
      </c>
      <c r="G6" s="35" t="s">
        <v>605</v>
      </c>
    </row>
    <row r="7" customFormat="false" ht="15" hidden="false" customHeight="false" outlineLevel="0" collapsed="false">
      <c r="A7" s="6" t="s">
        <v>606</v>
      </c>
      <c r="B7" s="36" t="n">
        <v>-0.003</v>
      </c>
      <c r="C7" s="36" t="n">
        <v>0.063</v>
      </c>
      <c r="D7" s="36" t="n">
        <v>0.037</v>
      </c>
      <c r="E7" s="36" t="n">
        <v>0.106</v>
      </c>
      <c r="F7" s="36" t="n">
        <v>0.179</v>
      </c>
      <c r="G7" s="35" t="s">
        <v>607</v>
      </c>
    </row>
    <row r="8" customFormat="false" ht="15" hidden="false" customHeight="false" outlineLevel="0" collapsed="false">
      <c r="A8" s="6" t="s">
        <v>283</v>
      </c>
      <c r="B8" s="36" t="n">
        <v>0.039</v>
      </c>
      <c r="C8" s="36" t="n">
        <v>0.109</v>
      </c>
      <c r="D8" s="36" t="n">
        <v>0.079</v>
      </c>
      <c r="E8" s="36" t="n">
        <v>0.124</v>
      </c>
      <c r="F8" s="36" t="n">
        <v>0.09</v>
      </c>
      <c r="G8" s="35" t="s">
        <v>608</v>
      </c>
    </row>
    <row r="9" customFormat="false" ht="15" hidden="false" customHeight="false" outlineLevel="0" collapsed="false">
      <c r="A9" s="6" t="s">
        <v>288</v>
      </c>
      <c r="B9" s="36" t="n">
        <v>-0.012</v>
      </c>
      <c r="C9" s="36" t="n">
        <v>0.06</v>
      </c>
      <c r="D9" s="36" t="n">
        <v>0.028</v>
      </c>
      <c r="E9" s="36" t="n">
        <v>0.102</v>
      </c>
      <c r="F9" s="36" t="n">
        <v>0.166</v>
      </c>
      <c r="G9" s="35" t="s">
        <v>609</v>
      </c>
    </row>
    <row r="10" customFormat="false" ht="15" hidden="false" customHeight="false" outlineLevel="0" collapsed="false">
      <c r="A10" s="26" t="s">
        <v>610</v>
      </c>
      <c r="B10" s="50" t="n">
        <f aca="false">(1+B9)/(1+B8)-1</f>
        <v>-0.0490856592877766</v>
      </c>
      <c r="C10" s="50" t="n">
        <f aca="false">(1+C9)/(1+C8)-1</f>
        <v>-0.0441839495040577</v>
      </c>
      <c r="D10" s="50" t="n">
        <f aca="false">(1+D9)/(1+D8)-1</f>
        <v>-0.0472659870250232</v>
      </c>
      <c r="E10" s="50" t="n">
        <f aca="false">(1+E9)/(1+E8)-1</f>
        <v>-0.0195729537366548</v>
      </c>
      <c r="F10" s="50" t="n">
        <f aca="false">(1+F9)/(1+F8)-1</f>
        <v>0.0697247706422017</v>
      </c>
      <c r="G10" s="35" t="s">
        <v>611</v>
      </c>
    </row>
    <row r="11" customFormat="false" ht="15" hidden="false" customHeight="false" outlineLevel="0" collapsed="false">
      <c r="A11" s="6" t="s">
        <v>57</v>
      </c>
      <c r="B11" s="36" t="n">
        <v>0.427</v>
      </c>
      <c r="C11" s="36" t="n">
        <v>0.437</v>
      </c>
      <c r="D11" s="36" t="n">
        <v>0.443</v>
      </c>
      <c r="E11" s="36" t="n">
        <v>0.448</v>
      </c>
      <c r="F11" s="36" t="n">
        <v>0.438</v>
      </c>
      <c r="G11" s="35" t="s">
        <v>612</v>
      </c>
    </row>
    <row r="12" customFormat="false" ht="15" hidden="false" customHeight="false" outlineLevel="0" collapsed="false">
      <c r="A12" s="6" t="s">
        <v>613</v>
      </c>
      <c r="B12" s="117" t="s">
        <v>614</v>
      </c>
      <c r="C12" s="117" t="s">
        <v>615</v>
      </c>
      <c r="D12" s="117" t="s">
        <v>614</v>
      </c>
      <c r="E12" s="117" t="s">
        <v>614</v>
      </c>
      <c r="F12" s="117" t="s">
        <v>615</v>
      </c>
    </row>
    <row r="13" customFormat="false" ht="15" hidden="false" customHeight="false" outlineLevel="0" collapsed="false">
      <c r="A13" s="6" t="s">
        <v>616</v>
      </c>
      <c r="B13" s="36" t="n">
        <v>0.182</v>
      </c>
      <c r="C13" s="36" t="n">
        <v>0.176</v>
      </c>
      <c r="D13" s="36" t="n">
        <v>0.201</v>
      </c>
      <c r="E13" s="36" t="n">
        <v>0.193</v>
      </c>
      <c r="F13" s="36" t="n">
        <v>0.206</v>
      </c>
      <c r="G13" s="35" t="s">
        <v>617</v>
      </c>
    </row>
    <row r="14" customFormat="false" ht="15" hidden="false" customHeight="false" outlineLevel="0" collapsed="false">
      <c r="A14" s="6" t="s">
        <v>618</v>
      </c>
      <c r="B14" s="37" t="n">
        <v>1100</v>
      </c>
      <c r="C14" s="37" t="n">
        <v>993.6</v>
      </c>
      <c r="D14" s="37" t="n">
        <v>1059.9</v>
      </c>
      <c r="E14" s="37" t="n">
        <v>1172.1</v>
      </c>
      <c r="F14" s="37" t="n">
        <v>1539.3</v>
      </c>
      <c r="G14" s="35" t="s">
        <v>619</v>
      </c>
    </row>
    <row r="15" customFormat="false" ht="61.5" hidden="false" customHeight="true" outlineLevel="0" collapsed="false">
      <c r="A15" s="6" t="s">
        <v>620</v>
      </c>
      <c r="B15" s="117" t="s">
        <v>621</v>
      </c>
      <c r="C15" s="117" t="s">
        <v>622</v>
      </c>
      <c r="D15" s="117" t="s">
        <v>621</v>
      </c>
      <c r="E15" s="117" t="s">
        <v>623</v>
      </c>
      <c r="F15" s="117" t="s">
        <v>624</v>
      </c>
      <c r="G15" s="35" t="s">
        <v>625</v>
      </c>
    </row>
    <row r="16" customFormat="false" ht="61.5" hidden="false" customHeight="true" outlineLevel="0" collapsed="false">
      <c r="A16" s="6" t="s">
        <v>626</v>
      </c>
      <c r="B16" s="117" t="s">
        <v>627</v>
      </c>
      <c r="C16" s="117" t="s">
        <v>628</v>
      </c>
      <c r="D16" s="117" t="s">
        <v>629</v>
      </c>
      <c r="E16" s="117" t="s">
        <v>630</v>
      </c>
      <c r="F16" s="117" t="s">
        <v>631</v>
      </c>
      <c r="G16" s="35" t="s">
        <v>632</v>
      </c>
    </row>
    <row r="17" customFormat="false" ht="30" hidden="false" customHeight="true" outlineLevel="0" collapsed="false">
      <c r="A17" s="6" t="s">
        <v>633</v>
      </c>
      <c r="B17" s="117" t="s">
        <v>140</v>
      </c>
      <c r="C17" s="117" t="s">
        <v>140</v>
      </c>
      <c r="D17" s="117" t="s">
        <v>140</v>
      </c>
      <c r="E17" s="117" t="s">
        <v>634</v>
      </c>
      <c r="F17" s="118" t="str">
        <f aca="false">"Q1 = "&amp;TEXT(F6/Forecast!D15,"0.0%")&amp;" of FY27E vs "&amp;TEXT(B6/Historicals!E6,"0.0%")&amp;" last year"</f>
        <v>Q1 = 25.9% of FY27E vs 25.1% last year</v>
      </c>
      <c r="G17" s="35" t="s">
        <v>635</v>
      </c>
    </row>
    <row r="18" customFormat="false" ht="15" hidden="false" customHeight="false" outlineLevel="0" collapsed="false">
      <c r="A18" s="6" t="s">
        <v>636</v>
      </c>
      <c r="E18" s="51" t="n">
        <f aca="false">SUM(B6:E6)</f>
        <v>35584</v>
      </c>
      <c r="G18" s="35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0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33" t="s">
        <v>638</v>
      </c>
    </row>
    <row r="2" customFormat="false" ht="15" hidden="false" customHeight="false" outlineLevel="0" collapsed="false">
      <c r="A2" s="3" t="s">
        <v>639</v>
      </c>
    </row>
    <row r="4" customFormat="false" ht="24" hidden="false" customHeight="true" outlineLevel="0" collapsed="false">
      <c r="A4" s="14" t="s">
        <v>561</v>
      </c>
      <c r="B4" s="15" t="s">
        <v>210</v>
      </c>
      <c r="C4" s="15" t="s">
        <v>211</v>
      </c>
      <c r="D4" s="15" t="s">
        <v>45</v>
      </c>
      <c r="E4" s="15" t="s">
        <v>640</v>
      </c>
      <c r="F4" s="53" t="s">
        <v>46</v>
      </c>
      <c r="G4" s="27" t="s">
        <v>47</v>
      </c>
      <c r="H4" s="15" t="s">
        <v>111</v>
      </c>
      <c r="I4" s="15" t="s">
        <v>641</v>
      </c>
    </row>
    <row r="5" customFormat="false" ht="15" hidden="false" customHeight="false" outlineLevel="0" collapsed="false">
      <c r="A5" s="4" t="s">
        <v>642</v>
      </c>
      <c r="B5" s="5"/>
      <c r="C5" s="5"/>
      <c r="D5" s="5"/>
      <c r="E5" s="5"/>
      <c r="F5" s="54"/>
      <c r="G5" s="5"/>
      <c r="H5" s="5"/>
      <c r="I5" s="5"/>
    </row>
    <row r="6" customFormat="false" ht="15" hidden="false" customHeight="false" outlineLevel="0" collapsed="false">
      <c r="A6" s="26" t="s">
        <v>604</v>
      </c>
      <c r="B6" s="65" t="n">
        <f aca="false">Historicals!C6</f>
        <v>35494.73</v>
      </c>
      <c r="C6" s="65" t="n">
        <f aca="false">Historicals!D6</f>
        <v>33905.62</v>
      </c>
      <c r="D6" s="65" t="n">
        <f aca="false">Historicals!E6</f>
        <v>35583.54</v>
      </c>
      <c r="E6" s="65" t="n">
        <f aca="false">'Quarterly Tracker'!F6</f>
        <v>10541.9</v>
      </c>
      <c r="F6" s="119" t="n">
        <f aca="false">Forecast!D15</f>
        <v>40627.5608</v>
      </c>
      <c r="G6" s="65" t="n">
        <f aca="false">Forecast!E15</f>
        <v>44321.41094624</v>
      </c>
    </row>
    <row r="7" customFormat="false" ht="15" hidden="false" customHeight="false" outlineLevel="0" collapsed="false">
      <c r="A7" s="6" t="s">
        <v>643</v>
      </c>
      <c r="C7" s="59" t="n">
        <f aca="false">Historicals!D40</f>
        <v>29545.3</v>
      </c>
      <c r="D7" s="59" t="n">
        <f aca="false">Historicals!E40</f>
        <v>30830.4</v>
      </c>
      <c r="F7" s="61" t="n">
        <f aca="false">Forecast!D9</f>
        <v>35285.3928</v>
      </c>
      <c r="G7" s="59" t="n">
        <f aca="false">Forecast!E9</f>
        <v>38489.30646624</v>
      </c>
    </row>
    <row r="8" customFormat="false" ht="15" hidden="false" customHeight="false" outlineLevel="0" collapsed="false">
      <c r="A8" s="26" t="s">
        <v>644</v>
      </c>
      <c r="B8" s="120" t="n">
        <f aca="false">Historicals!C49</f>
        <v>0.1</v>
      </c>
      <c r="C8" s="120" t="n">
        <f aca="false">Historicals!D49</f>
        <v>0.025</v>
      </c>
      <c r="D8" s="120" t="n">
        <f aca="false">Historicals!E49</f>
        <v>0.09</v>
      </c>
      <c r="E8" s="120" t="n">
        <f aca="false">'Quarterly Tracker'!F8</f>
        <v>0.09</v>
      </c>
      <c r="F8" s="121" t="n">
        <f aca="false">Forecast!D6</f>
        <v>0.09</v>
      </c>
      <c r="G8" s="120" t="n">
        <f aca="false">Forecast!E6</f>
        <v>0.08</v>
      </c>
    </row>
    <row r="9" customFormat="false" ht="15" hidden="false" customHeight="false" outlineLevel="0" collapsed="false">
      <c r="A9" s="6" t="s">
        <v>645</v>
      </c>
      <c r="C9" s="122" t="s">
        <v>646</v>
      </c>
      <c r="F9" s="63"/>
      <c r="H9" s="35" t="s">
        <v>647</v>
      </c>
      <c r="I9" s="35" t="s">
        <v>648</v>
      </c>
    </row>
    <row r="10" customFormat="false" ht="15" hidden="false" customHeight="false" outlineLevel="0" collapsed="false">
      <c r="A10" s="6" t="s">
        <v>649</v>
      </c>
      <c r="F10" s="63"/>
      <c r="H10" s="35" t="s">
        <v>650</v>
      </c>
      <c r="I10" s="35" t="s">
        <v>651</v>
      </c>
    </row>
    <row r="11" customFormat="false" ht="15" hidden="false" customHeight="false" outlineLevel="0" collapsed="false">
      <c r="A11" s="6" t="s">
        <v>652</v>
      </c>
      <c r="E11" s="122" t="s">
        <v>653</v>
      </c>
      <c r="F11" s="63"/>
      <c r="H11" s="35" t="s">
        <v>647</v>
      </c>
      <c r="I11" s="35" t="s">
        <v>654</v>
      </c>
    </row>
    <row r="12" customFormat="false" ht="15" hidden="false" customHeight="false" outlineLevel="0" collapsed="false">
      <c r="A12" s="6" t="s">
        <v>655</v>
      </c>
      <c r="D12" s="122" t="s">
        <v>656</v>
      </c>
      <c r="F12" s="63"/>
      <c r="H12" s="35" t="s">
        <v>657</v>
      </c>
      <c r="I12" s="35" t="s">
        <v>658</v>
      </c>
    </row>
    <row r="13" customFormat="false" ht="15" hidden="false" customHeight="false" outlineLevel="0" collapsed="false">
      <c r="A13" s="26" t="s">
        <v>659</v>
      </c>
      <c r="B13" s="120" t="n">
        <f aca="false">Historicals!C51</f>
        <v>-0.0554545454545456</v>
      </c>
      <c r="C13" s="120" t="n">
        <f aca="false">Historicals!D51</f>
        <v>-0.08</v>
      </c>
      <c r="D13" s="120" t="n">
        <f aca="false">Historicals!E51</f>
        <v>-0.043119266055046</v>
      </c>
      <c r="E13" s="120" t="n">
        <f aca="false">'Quarterly Tracker'!F10</f>
        <v>0.0697247706422017</v>
      </c>
      <c r="F13" s="121" t="n">
        <f aca="false">Forecast!D7</f>
        <v>0.05</v>
      </c>
      <c r="G13" s="120" t="n">
        <f aca="false">Forecast!E7</f>
        <v>0.01</v>
      </c>
    </row>
    <row r="14" customFormat="false" ht="15" hidden="false" customHeight="false" outlineLevel="0" collapsed="false">
      <c r="A14" s="6" t="s">
        <v>660</v>
      </c>
      <c r="D14" s="122" t="s">
        <v>661</v>
      </c>
      <c r="E14" s="122" t="s">
        <v>662</v>
      </c>
      <c r="F14" s="63"/>
      <c r="H14" s="35" t="s">
        <v>663</v>
      </c>
      <c r="I14" s="35" t="s">
        <v>664</v>
      </c>
    </row>
    <row r="15" customFormat="false" ht="15" hidden="false" customHeight="false" outlineLevel="0" collapsed="false">
      <c r="A15" s="6" t="s">
        <v>665</v>
      </c>
      <c r="B15" s="122" t="s">
        <v>666</v>
      </c>
      <c r="C15" s="122" t="s">
        <v>666</v>
      </c>
      <c r="D15" s="122" t="s">
        <v>667</v>
      </c>
      <c r="F15" s="63"/>
      <c r="H15" s="35" t="s">
        <v>647</v>
      </c>
      <c r="I15" s="35" t="s">
        <v>668</v>
      </c>
    </row>
    <row r="16" customFormat="false" ht="15" hidden="false" customHeight="false" outlineLevel="0" collapsed="false">
      <c r="A16" s="6" t="s">
        <v>669</v>
      </c>
      <c r="D16" s="55" t="n">
        <f aca="false">Forecast!C10</f>
        <v>0.0936603182885467</v>
      </c>
      <c r="E16" s="55" t="n">
        <v>0.272</v>
      </c>
      <c r="F16" s="56" t="n">
        <f aca="false">Forecast!D10</f>
        <v>0.12</v>
      </c>
      <c r="G16" s="55" t="n">
        <f aca="false">Forecast!E10</f>
        <v>0.09</v>
      </c>
      <c r="H16" s="35" t="s">
        <v>670</v>
      </c>
      <c r="I16" s="35" t="s">
        <v>671</v>
      </c>
    </row>
    <row r="17" customFormat="false" ht="15" hidden="false" customHeight="false" outlineLevel="0" collapsed="false">
      <c r="A17" s="6" t="s">
        <v>672</v>
      </c>
      <c r="D17" s="55" t="n">
        <f aca="false">Forecast!C12</f>
        <v>0.123724382221473</v>
      </c>
      <c r="F17" s="56" t="n">
        <f aca="false">Forecast!D12</f>
        <v>0.14</v>
      </c>
      <c r="G17" s="55" t="n">
        <f aca="false">Forecast!E12</f>
        <v>0.1</v>
      </c>
      <c r="H17" s="35" t="s">
        <v>670</v>
      </c>
      <c r="I17" s="35" t="s">
        <v>673</v>
      </c>
    </row>
    <row r="18" customFormat="false" ht="15" hidden="false" customHeight="false" outlineLevel="0" collapsed="false">
      <c r="F18" s="63"/>
    </row>
    <row r="19" customFormat="false" ht="15" hidden="false" customHeight="false" outlineLevel="0" collapsed="false">
      <c r="A19" s="4" t="s">
        <v>674</v>
      </c>
      <c r="B19" s="5"/>
      <c r="C19" s="5"/>
      <c r="D19" s="5"/>
      <c r="E19" s="5"/>
      <c r="F19" s="54"/>
      <c r="G19" s="5"/>
      <c r="H19" s="5"/>
      <c r="I19" s="5"/>
    </row>
    <row r="20" customFormat="false" ht="15" hidden="false" customHeight="false" outlineLevel="0" collapsed="false">
      <c r="A20" s="26" t="s">
        <v>675</v>
      </c>
      <c r="B20" s="120" t="n">
        <f aca="false">Historicals!C31</f>
        <v>0.433994567644267</v>
      </c>
      <c r="C20" s="120" t="n">
        <f aca="false">Historicals!D31</f>
        <v>0.424408696847307</v>
      </c>
      <c r="D20" s="120" t="n">
        <f aca="false">Historicals!E31</f>
        <v>0.437892351351215</v>
      </c>
      <c r="E20" s="120" t="n">
        <f aca="false">'Quarterly Tracker'!F11</f>
        <v>0.438</v>
      </c>
      <c r="F20" s="121" t="n">
        <f aca="false">Forecast!D19</f>
        <v>0.428</v>
      </c>
      <c r="G20" s="120" t="n">
        <f aca="false">Forecast!E19</f>
        <v>0.435</v>
      </c>
      <c r="H20" s="35" t="s">
        <v>670</v>
      </c>
      <c r="I20" s="35" t="s">
        <v>676</v>
      </c>
    </row>
    <row r="21" customFormat="false" ht="15" hidden="false" customHeight="false" outlineLevel="0" collapsed="false">
      <c r="A21" s="6" t="s">
        <v>677</v>
      </c>
      <c r="B21" s="122" t="s">
        <v>678</v>
      </c>
      <c r="C21" s="122" t="s">
        <v>679</v>
      </c>
      <c r="D21" s="122" t="s">
        <v>678</v>
      </c>
      <c r="E21" s="122" t="s">
        <v>680</v>
      </c>
      <c r="F21" s="63"/>
      <c r="H21" s="35" t="s">
        <v>647</v>
      </c>
      <c r="I21" s="35" t="s">
        <v>681</v>
      </c>
    </row>
    <row r="22" customFormat="false" ht="15" hidden="false" customHeight="false" outlineLevel="0" collapsed="false">
      <c r="A22" s="6" t="s">
        <v>682</v>
      </c>
      <c r="F22" s="123" t="s">
        <v>683</v>
      </c>
      <c r="H22" s="35" t="s">
        <v>684</v>
      </c>
      <c r="I22" s="35" t="s">
        <v>685</v>
      </c>
    </row>
    <row r="23" customFormat="false" ht="15" hidden="false" customHeight="false" outlineLevel="0" collapsed="false">
      <c r="F23" s="63"/>
    </row>
    <row r="24" customFormat="false" ht="15" hidden="false" customHeight="false" outlineLevel="0" collapsed="false">
      <c r="A24" s="4" t="s">
        <v>686</v>
      </c>
      <c r="B24" s="5"/>
      <c r="C24" s="5"/>
      <c r="D24" s="5"/>
      <c r="E24" s="5"/>
      <c r="F24" s="54"/>
      <c r="G24" s="5"/>
      <c r="H24" s="5"/>
      <c r="I24" s="5"/>
    </row>
    <row r="25" customFormat="false" ht="15" hidden="false" customHeight="false" outlineLevel="0" collapsed="false">
      <c r="A25" s="6" t="s">
        <v>59</v>
      </c>
      <c r="B25" s="55" t="n">
        <f aca="false">Historicals!C35</f>
        <v>0.0655359260374709</v>
      </c>
      <c r="C25" s="55" t="n">
        <f aca="false">Historicals!D35</f>
        <v>0.0766017551072654</v>
      </c>
      <c r="D25" s="55" t="n">
        <f aca="false">Historicals!E35</f>
        <v>0.0786765453914928</v>
      </c>
      <c r="F25" s="56" t="n">
        <f aca="false">Forecast!D21</f>
        <v>0.075</v>
      </c>
      <c r="G25" s="55" t="n">
        <f aca="false">Forecast!E21</f>
        <v>0.074</v>
      </c>
      <c r="H25" s="35" t="s">
        <v>670</v>
      </c>
    </row>
    <row r="26" customFormat="false" ht="15" hidden="false" customHeight="false" outlineLevel="0" collapsed="false">
      <c r="A26" s="6" t="s">
        <v>687</v>
      </c>
      <c r="B26" s="55" t="n">
        <f aca="false">Historicals!C36</f>
        <v>0.154765510260256</v>
      </c>
      <c r="C26" s="55" t="n">
        <f aca="false">Historicals!D36</f>
        <v>0.170661972852878</v>
      </c>
      <c r="D26" s="55" t="n">
        <f aca="false">Historicals!E36</f>
        <v>0.17104116116609</v>
      </c>
      <c r="F26" s="56" t="n">
        <f aca="false">Forecast!D23</f>
        <v>0.166</v>
      </c>
      <c r="G26" s="55" t="n">
        <f aca="false">Forecast!E23</f>
        <v>0.166</v>
      </c>
      <c r="H26" s="35" t="s">
        <v>670</v>
      </c>
      <c r="I26" s="35" t="s">
        <v>688</v>
      </c>
    </row>
    <row r="27" customFormat="false" ht="15" hidden="false" customHeight="false" outlineLevel="0" collapsed="false">
      <c r="A27" s="26" t="s">
        <v>616</v>
      </c>
      <c r="B27" s="120" t="n">
        <f aca="false">Historicals!C32</f>
        <v>0.213693131346541</v>
      </c>
      <c r="C27" s="120" t="n">
        <f aca="false">Historicals!D32</f>
        <v>0.177144968887164</v>
      </c>
      <c r="D27" s="120" t="n">
        <f aca="false">Historicals!E32</f>
        <v>0.188174644793632</v>
      </c>
      <c r="E27" s="120" t="n">
        <f aca="false">'Quarterly Tracker'!F13</f>
        <v>0.206</v>
      </c>
      <c r="F27" s="121" t="n">
        <f aca="false">Forecast!D26</f>
        <v>0.187</v>
      </c>
      <c r="G27" s="120" t="n">
        <f aca="false">Forecast!E26</f>
        <v>0.195</v>
      </c>
      <c r="H27" s="35" t="s">
        <v>670</v>
      </c>
      <c r="I27" s="35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2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33" t="s">
        <v>690</v>
      </c>
    </row>
    <row r="2" customFormat="false" ht="15" hidden="false" customHeight="false" outlineLevel="0" collapsed="false">
      <c r="A2" s="3" t="s">
        <v>691</v>
      </c>
    </row>
    <row r="4" customFormat="false" ht="24" hidden="false" customHeight="true" outlineLevel="0" collapsed="false">
      <c r="A4" s="14" t="s">
        <v>30</v>
      </c>
      <c r="B4" s="15" t="s">
        <v>475</v>
      </c>
      <c r="C4" s="15" t="s">
        <v>476</v>
      </c>
      <c r="D4" s="15" t="s">
        <v>477</v>
      </c>
      <c r="E4" s="15" t="s">
        <v>692</v>
      </c>
      <c r="F4" s="15" t="s">
        <v>693</v>
      </c>
    </row>
    <row r="5" customFormat="false" ht="27.75" hidden="false" customHeight="true" outlineLevel="0" collapsed="false">
      <c r="A5" s="6" t="s">
        <v>694</v>
      </c>
      <c r="B5" s="124" t="n">
        <f aca="false">Historicals!E6</f>
        <v>35583.54</v>
      </c>
      <c r="C5" s="125" t="n">
        <v>11880</v>
      </c>
      <c r="D5" s="125" t="n">
        <v>8052</v>
      </c>
      <c r="E5" s="117" t="s">
        <v>695</v>
      </c>
      <c r="F5" s="3" t="s">
        <v>696</v>
      </c>
    </row>
    <row r="6" customFormat="false" ht="27.75" hidden="false" customHeight="true" outlineLevel="0" collapsed="false">
      <c r="A6" s="6" t="s">
        <v>697</v>
      </c>
      <c r="B6" s="126" t="n">
        <f aca="false">Historicals!E30</f>
        <v>0.0494879609928973</v>
      </c>
      <c r="C6" s="126" t="n">
        <f aca="false">Valuation!E20</f>
        <v>0.0290168904287571</v>
      </c>
      <c r="D6" s="126" t="n">
        <f aca="false">Valuation!E21</f>
        <v>0.0292726575482551</v>
      </c>
      <c r="E6" s="117" t="s">
        <v>698</v>
      </c>
      <c r="F6" s="3" t="s">
        <v>699</v>
      </c>
    </row>
    <row r="7" customFormat="false" ht="27.75" hidden="false" customHeight="true" outlineLevel="0" collapsed="false">
      <c r="A7" s="6" t="s">
        <v>700</v>
      </c>
      <c r="B7" s="126" t="n">
        <f aca="false">'Quarterly Tracker'!F7</f>
        <v>0.179</v>
      </c>
      <c r="C7" s="126" t="n">
        <f aca="false">Valuation!F20</f>
        <v>0.119650109340831</v>
      </c>
      <c r="D7" s="126" t="n">
        <f aca="false">Valuation!F21</f>
        <v>0.0980573543015726</v>
      </c>
      <c r="E7" s="117" t="s">
        <v>701</v>
      </c>
      <c r="F7" s="3" t="s">
        <v>702</v>
      </c>
    </row>
    <row r="8" customFormat="false" ht="27.75" hidden="false" customHeight="true" outlineLevel="0" collapsed="false">
      <c r="A8" s="6" t="s">
        <v>703</v>
      </c>
      <c r="B8" s="126" t="n">
        <f aca="false">Historicals!E32</f>
        <v>0.188174644793632</v>
      </c>
      <c r="C8" s="127" t="n">
        <f aca="false">1833/11880</f>
        <v>0.154292929292929</v>
      </c>
      <c r="D8" s="127" t="n">
        <f aca="false">975/8052</f>
        <v>0.121087928464978</v>
      </c>
      <c r="E8" s="117" t="s">
        <v>695</v>
      </c>
      <c r="F8" s="3" t="s">
        <v>704</v>
      </c>
    </row>
    <row r="9" customFormat="false" ht="27.75" hidden="false" customHeight="true" outlineLevel="0" collapsed="false">
      <c r="A9" s="6" t="s">
        <v>705</v>
      </c>
      <c r="B9" s="117" t="s">
        <v>706</v>
      </c>
      <c r="C9" s="117" t="s">
        <v>707</v>
      </c>
      <c r="D9" s="117" t="s">
        <v>708</v>
      </c>
      <c r="E9" s="117" t="s">
        <v>709</v>
      </c>
      <c r="F9" s="3" t="s">
        <v>710</v>
      </c>
    </row>
    <row r="10" customFormat="false" ht="27.75" hidden="false" customHeight="true" outlineLevel="0" collapsed="false">
      <c r="A10" s="6" t="s">
        <v>711</v>
      </c>
      <c r="B10" s="117" t="s">
        <v>712</v>
      </c>
      <c r="C10" s="117" t="s">
        <v>707</v>
      </c>
      <c r="D10" s="117" t="s">
        <v>707</v>
      </c>
      <c r="E10" s="117" t="s">
        <v>713</v>
      </c>
      <c r="F10" s="3" t="s">
        <v>714</v>
      </c>
    </row>
    <row r="11" customFormat="false" ht="27.75" hidden="false" customHeight="true" outlineLevel="0" collapsed="false">
      <c r="A11" s="6" t="s">
        <v>715</v>
      </c>
      <c r="B11" s="117" t="s">
        <v>701</v>
      </c>
      <c r="C11" s="117" t="s">
        <v>701</v>
      </c>
      <c r="D11" s="117" t="s">
        <v>701</v>
      </c>
      <c r="E11" s="117" t="s">
        <v>716</v>
      </c>
      <c r="F11" s="3" t="s">
        <v>717</v>
      </c>
    </row>
    <row r="12" customFormat="false" ht="27.75" hidden="false" customHeight="true" outlineLevel="0" collapsed="false">
      <c r="A12" s="6" t="s">
        <v>718</v>
      </c>
      <c r="B12" s="117" t="s">
        <v>701</v>
      </c>
      <c r="C12" s="117" t="s">
        <v>701</v>
      </c>
      <c r="D12" s="117" t="s">
        <v>701</v>
      </c>
      <c r="E12" s="117" t="s">
        <v>719</v>
      </c>
      <c r="F12" s="3" t="s">
        <v>720</v>
      </c>
    </row>
    <row r="13" customFormat="false" ht="27.75" hidden="false" customHeight="true" outlineLevel="0" collapsed="false">
      <c r="A13" s="6" t="s">
        <v>721</v>
      </c>
      <c r="B13" s="117" t="s">
        <v>722</v>
      </c>
      <c r="C13" s="117" t="s">
        <v>723</v>
      </c>
      <c r="D13" s="117" t="s">
        <v>707</v>
      </c>
      <c r="E13" s="117" t="s">
        <v>724</v>
      </c>
      <c r="F13" s="3" t="s">
        <v>725</v>
      </c>
    </row>
    <row r="14" customFormat="false" ht="27.75" hidden="false" customHeight="true" outlineLevel="0" collapsed="false">
      <c r="A14" s="6" t="s">
        <v>726</v>
      </c>
      <c r="B14" s="126" t="n">
        <f aca="false">Historicals!E49</f>
        <v>0.09</v>
      </c>
      <c r="C14" s="117" t="s">
        <v>727</v>
      </c>
      <c r="D14" s="117" t="s">
        <v>707</v>
      </c>
      <c r="E14" s="117" t="s">
        <v>701</v>
      </c>
      <c r="F14" s="3" t="s">
        <v>728</v>
      </c>
    </row>
    <row r="15" customFormat="false" ht="27.75" hidden="false" customHeight="true" outlineLevel="0" collapsed="false">
      <c r="A15" s="6" t="s">
        <v>729</v>
      </c>
      <c r="B15" s="128" t="n">
        <v>0.263</v>
      </c>
      <c r="C15" s="128" t="n">
        <v>0.216</v>
      </c>
      <c r="D15" s="128" t="n">
        <v>0.12</v>
      </c>
      <c r="E15" s="117" t="s">
        <v>730</v>
      </c>
      <c r="F15" s="3" t="s">
        <v>731</v>
      </c>
    </row>
    <row r="16" customFormat="false" ht="27.75" hidden="false" customHeight="true" outlineLevel="0" collapsed="false">
      <c r="A16" s="6" t="s">
        <v>444</v>
      </c>
      <c r="B16" s="129" t="n">
        <f aca="false">Valuation!N19</f>
        <v>49.4029320096964</v>
      </c>
      <c r="C16" s="129" t="n">
        <f aca="false">Valuation!N20</f>
        <v>42.8</v>
      </c>
      <c r="D16" s="129" t="n">
        <f aca="false">Valuation!N21</f>
        <v>23.1</v>
      </c>
      <c r="E16" s="117" t="s">
        <v>730</v>
      </c>
      <c r="F16" s="3" t="s">
        <v>732</v>
      </c>
    </row>
    <row r="18" customFormat="false" ht="31.5" hidden="false" customHeight="true" outlineLevel="0" collapsed="false">
      <c r="A18" s="90" t="s">
        <v>733</v>
      </c>
      <c r="B18" s="90"/>
      <c r="C18" s="90"/>
      <c r="D18" s="90"/>
      <c r="E18" s="90"/>
      <c r="F18" s="90"/>
    </row>
  </sheetData>
  <mergeCells count="1"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33" t="s">
        <v>734</v>
      </c>
    </row>
    <row r="2" customFormat="false" ht="15" hidden="false" customHeight="false" outlineLevel="0" collapsed="false">
      <c r="A2" s="3" t="s">
        <v>735</v>
      </c>
    </row>
    <row r="4" customFormat="false" ht="24" hidden="false" customHeight="true" outlineLevel="0" collapsed="false">
      <c r="A4" s="14" t="s">
        <v>736</v>
      </c>
      <c r="B4" s="15" t="s">
        <v>737</v>
      </c>
      <c r="C4" s="15" t="s">
        <v>738</v>
      </c>
      <c r="D4" s="15" t="s">
        <v>739</v>
      </c>
      <c r="E4" s="15" t="s">
        <v>740</v>
      </c>
    </row>
    <row r="5" customFormat="false" ht="15" hidden="false" customHeight="false" outlineLevel="0" collapsed="false">
      <c r="A5" s="4" t="s">
        <v>741</v>
      </c>
      <c r="B5" s="5"/>
      <c r="C5" s="5"/>
      <c r="D5" s="5"/>
      <c r="E5" s="5"/>
    </row>
    <row r="6" customFormat="false" ht="30" hidden="false" customHeight="true" outlineLevel="0" collapsed="false">
      <c r="A6" s="6" t="s">
        <v>49</v>
      </c>
      <c r="B6" s="30" t="s">
        <v>742</v>
      </c>
      <c r="C6" s="130" t="s">
        <v>743</v>
      </c>
      <c r="D6" s="82" t="n">
        <f aca="false">'Quarterly Tracker'!F8</f>
        <v>0.09</v>
      </c>
      <c r="E6" s="26" t="str">
        <f aca="false">IF(D6&lt;0.08,"WATCH","OK")</f>
        <v>OK</v>
      </c>
    </row>
    <row r="7" customFormat="false" ht="30" hidden="false" customHeight="true" outlineLevel="0" collapsed="false">
      <c r="A7" s="6" t="s">
        <v>744</v>
      </c>
      <c r="B7" s="30" t="s">
        <v>745</v>
      </c>
      <c r="C7" s="130" t="s">
        <v>746</v>
      </c>
      <c r="D7" s="82" t="n">
        <f aca="false">'Quarterly Tracker'!F10</f>
        <v>0.0697247706422017</v>
      </c>
      <c r="E7" s="26" t="str">
        <f aca="false">IF(D7&lt;0,"BREACH","OK")</f>
        <v>OK</v>
      </c>
    </row>
    <row r="8" customFormat="false" ht="30" hidden="false" customHeight="true" outlineLevel="0" collapsed="false">
      <c r="A8" s="6" t="s">
        <v>57</v>
      </c>
      <c r="B8" s="30" t="s">
        <v>747</v>
      </c>
      <c r="C8" s="130" t="s">
        <v>748</v>
      </c>
      <c r="D8" s="82" t="n">
        <f aca="false">'Quarterly Tracker'!F11</f>
        <v>0.438</v>
      </c>
      <c r="E8" s="26" t="str">
        <f aca="false">IF(D8&lt;0.424,"WATCH","OK")</f>
        <v>OK</v>
      </c>
    </row>
    <row r="9" customFormat="false" ht="30" hidden="false" customHeight="true" outlineLevel="0" collapsed="false">
      <c r="A9" s="6" t="s">
        <v>616</v>
      </c>
      <c r="B9" s="30" t="s">
        <v>749</v>
      </c>
      <c r="C9" s="130" t="s">
        <v>750</v>
      </c>
      <c r="D9" s="82" t="n">
        <f aca="false">'Quarterly Tracker'!F13</f>
        <v>0.206</v>
      </c>
      <c r="E9" s="26" t="str">
        <f aca="false">IF(D9&lt;0.18,"WATCH","OK")</f>
        <v>OK</v>
      </c>
    </row>
    <row r="10" customFormat="false" ht="30" hidden="false" customHeight="true" outlineLevel="0" collapsed="false">
      <c r="A10" s="6" t="s">
        <v>751</v>
      </c>
      <c r="B10" s="30" t="s">
        <v>752</v>
      </c>
      <c r="C10" s="130" t="s">
        <v>753</v>
      </c>
      <c r="D10" s="131" t="s">
        <v>754</v>
      </c>
      <c r="E10" s="26" t="str">
        <f aca="false">"Monitor (Grasim quarterly)"</f>
        <v>Monitor (Grasim quarterly)</v>
      </c>
    </row>
    <row r="11" customFormat="false" ht="30" hidden="false" customHeight="true" outlineLevel="0" collapsed="false">
      <c r="A11" s="6" t="s">
        <v>755</v>
      </c>
      <c r="B11" s="30" t="s">
        <v>756</v>
      </c>
      <c r="C11" s="130" t="s">
        <v>757</v>
      </c>
      <c r="D11" s="82" t="n">
        <f aca="false">'Quarterly Tracker'!F8</f>
        <v>0.09</v>
      </c>
      <c r="E11" s="26" t="str">
        <f aca="false">IF(AND(D11&lt;0.08,'Quarterly Tracker'!F9&gt;0.12),"WATCH","OK")</f>
        <v>OK</v>
      </c>
    </row>
    <row r="13" customFormat="false" ht="15" hidden="false" customHeight="false" outlineLevel="0" collapsed="false">
      <c r="A13" s="4" t="s">
        <v>758</v>
      </c>
      <c r="B13" s="5"/>
      <c r="C13" s="5"/>
      <c r="D13" s="5"/>
      <c r="E13" s="5"/>
    </row>
    <row r="14" customFormat="false" ht="30" hidden="false" customHeight="true" outlineLevel="0" collapsed="false">
      <c r="A14" s="6" t="s">
        <v>759</v>
      </c>
      <c r="B14" s="30" t="s">
        <v>760</v>
      </c>
      <c r="C14" s="130" t="s">
        <v>761</v>
      </c>
      <c r="D14" s="132" t="n">
        <f aca="false">Scenarios!D34</f>
        <v>68.5488400650235</v>
      </c>
      <c r="E14" s="26" t="str">
        <f aca="false">"Base "&amp;TEXT(Forecast!E37,"0.0")&amp;" vs bull "&amp;TEXT(D14,"0.0")</f>
        <v>Base 60.7 vs bull 68.5</v>
      </c>
    </row>
    <row r="15" customFormat="false" ht="30" hidden="false" customHeight="true" outlineLevel="0" collapsed="false">
      <c r="A15" s="6" t="s">
        <v>762</v>
      </c>
      <c r="B15" s="30" t="s">
        <v>763</v>
      </c>
      <c r="C15" s="130" t="s">
        <v>764</v>
      </c>
      <c r="D15" s="82" t="n">
        <f aca="false">Historicals!E31</f>
        <v>0.437892351351215</v>
      </c>
      <c r="E15" s="26" t="str">
        <f aca="false">IF(D15&gt;=0.444,"MET","Not yet")</f>
        <v>Not yet</v>
      </c>
    </row>
    <row r="16" customFormat="false" ht="30" hidden="false" customHeight="true" outlineLevel="0" collapsed="false">
      <c r="A16" s="6" t="s">
        <v>765</v>
      </c>
      <c r="B16" s="6" t="str">
        <f aca="false">"≤ ₹"&amp;TEXT(Valuation!B46,"#,##0")&amp;" (&gt;15% upside)"</f>
        <v>≤ ₹2,374 (&gt;15% upside)</v>
      </c>
      <c r="C16" s="130" t="s">
        <v>766</v>
      </c>
      <c r="D16" s="133" t="n">
        <f aca="false">Assumptions!B33</f>
        <v>2454</v>
      </c>
      <c r="E16" s="26" t="str">
        <f aca="false">IF(D16&lt;=Valuation!B46,"MET","No: threshold = "&amp;TEXT(Valuation!B47,"0.0")&amp;"x FY28E")</f>
        <v>No: threshold = 39.1x FY28E</v>
      </c>
    </row>
    <row r="17" customFormat="false" ht="30" hidden="false" customHeight="true" outlineLevel="0" collapsed="false">
      <c r="A17" s="6" t="s">
        <v>767</v>
      </c>
      <c r="B17" s="30" t="s">
        <v>768</v>
      </c>
      <c r="C17" s="130" t="s">
        <v>769</v>
      </c>
      <c r="D17" s="131" t="s">
        <v>770</v>
      </c>
      <c r="E17" s="26" t="str">
        <f aca="false">"Monitor"</f>
        <v>Monitor</v>
      </c>
    </row>
    <row r="19" customFormat="false" ht="15" hidden="false" customHeight="false" outlineLevel="0" collapsed="false">
      <c r="A19" s="4" t="s">
        <v>771</v>
      </c>
      <c r="B19" s="5"/>
      <c r="C19" s="5"/>
      <c r="D19" s="5"/>
      <c r="E19" s="5"/>
    </row>
    <row r="20" customFormat="false" ht="30" hidden="false" customHeight="true" outlineLevel="0" collapsed="false">
      <c r="A20" s="6" t="s">
        <v>765</v>
      </c>
      <c r="B20" s="6" t="str">
        <f aca="false">"≥ ₹"&amp;TEXT(Valuation!B48,"#,##0")&amp;" (&gt;10% downside)"</f>
        <v>≥ ₹3,033 (&gt;10% downside)</v>
      </c>
      <c r="C20" s="130" t="s">
        <v>772</v>
      </c>
      <c r="D20" s="133" t="n">
        <f aca="false">Assumptions!B33</f>
        <v>2454</v>
      </c>
      <c r="E20" s="26" t="str">
        <f aca="false">IF(D20&gt;=Valuation!B48,"MET","No: threshold = "&amp;TEXT(Valuation!B49,"0.0")&amp;"x FY28E")</f>
        <v>No: threshold = 50.0x FY28E</v>
      </c>
    </row>
    <row r="21" customFormat="false" ht="30" hidden="false" customHeight="true" outlineLevel="0" collapsed="false">
      <c r="A21" s="6" t="s">
        <v>759</v>
      </c>
      <c r="B21" s="30" t="s">
        <v>773</v>
      </c>
      <c r="C21" s="130" t="s">
        <v>774</v>
      </c>
      <c r="D21" s="132" t="n">
        <f aca="false">Scenarios!B34</f>
        <v>49.465960640443</v>
      </c>
      <c r="E21" s="26" t="str">
        <f aca="false">"Monitor"</f>
        <v>Monitor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33" t="s">
        <v>775</v>
      </c>
    </row>
    <row r="2" customFormat="false" ht="15" hidden="false" customHeight="false" outlineLevel="0" collapsed="false">
      <c r="A2" s="3" t="s">
        <v>776</v>
      </c>
    </row>
    <row r="4" customFormat="false" ht="24" hidden="false" customHeight="true" outlineLevel="0" collapsed="false">
      <c r="A4" s="14" t="s">
        <v>405</v>
      </c>
      <c r="B4" s="15" t="s">
        <v>777</v>
      </c>
      <c r="C4" s="15" t="s">
        <v>778</v>
      </c>
      <c r="D4" s="15" t="s">
        <v>779</v>
      </c>
      <c r="E4" s="15" t="s">
        <v>780</v>
      </c>
      <c r="F4" s="15" t="s">
        <v>740</v>
      </c>
      <c r="G4" s="15" t="s">
        <v>781</v>
      </c>
    </row>
    <row r="5" customFormat="false" ht="15" hidden="false" customHeight="false" outlineLevel="0" collapsed="false">
      <c r="A5" s="4" t="s">
        <v>782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783</v>
      </c>
      <c r="B6" s="134" t="n">
        <f aca="false">Historicals!E6</f>
        <v>35583.54</v>
      </c>
      <c r="C6" s="135" t="n">
        <v>35583.5</v>
      </c>
      <c r="D6" s="136" t="n">
        <f aca="false">B6-C6</f>
        <v>0.0400000000008731</v>
      </c>
      <c r="E6" s="137" t="n">
        <v>0.1</v>
      </c>
      <c r="F6" s="26" t="str">
        <f aca="false">IF(ABS(D6)&lt;=E6,"OK","CHECK")</f>
        <v>OK</v>
      </c>
      <c r="G6" s="3" t="s">
        <v>784</v>
      </c>
    </row>
    <row r="7" customFormat="false" ht="15" hidden="false" customHeight="false" outlineLevel="0" collapsed="false">
      <c r="A7" s="6" t="s">
        <v>785</v>
      </c>
      <c r="B7" s="138" t="n">
        <f aca="false">Historicals!E19+Historicals!E22</f>
        <v>6003.44</v>
      </c>
      <c r="C7" s="139" t="n">
        <v>6003.44</v>
      </c>
      <c r="D7" s="140" t="n">
        <f aca="false">B7-C7</f>
        <v>0</v>
      </c>
      <c r="E7" s="137" t="n">
        <v>0.05</v>
      </c>
      <c r="F7" s="26" t="str">
        <f aca="false">IF(ABS(D7)&lt;=E7,"OK","CHECK")</f>
        <v>OK</v>
      </c>
      <c r="G7" s="3" t="s">
        <v>786</v>
      </c>
    </row>
    <row r="8" customFormat="false" ht="15" hidden="false" customHeight="false" outlineLevel="0" collapsed="false">
      <c r="A8" s="6" t="s">
        <v>787</v>
      </c>
      <c r="B8" s="138" t="n">
        <f aca="false">Historicals!D19+Historicals!D22</f>
        <v>5103.07</v>
      </c>
      <c r="C8" s="139" t="n">
        <v>5103.07</v>
      </c>
      <c r="D8" s="140" t="n">
        <f aca="false">B8-C8</f>
        <v>0</v>
      </c>
      <c r="E8" s="137" t="n">
        <v>0.05</v>
      </c>
      <c r="F8" s="26" t="str">
        <f aca="false">IF(ABS(D8)&lt;=E8,"OK","CHECK")</f>
        <v>OK</v>
      </c>
      <c r="G8" s="3" t="s">
        <v>788</v>
      </c>
    </row>
    <row r="9" customFormat="false" ht="15" hidden="false" customHeight="false" outlineLevel="0" collapsed="false">
      <c r="A9" s="6" t="s">
        <v>789</v>
      </c>
      <c r="B9" s="138" t="n">
        <f aca="false">Historicals!C19+Historicals!C22</f>
        <v>7347.77</v>
      </c>
      <c r="C9" s="139" t="n">
        <v>7347.77</v>
      </c>
      <c r="D9" s="140" t="n">
        <f aca="false">B9-C9</f>
        <v>0</v>
      </c>
      <c r="E9" s="137" t="n">
        <v>0.05</v>
      </c>
      <c r="F9" s="26" t="str">
        <f aca="false">IF(ABS(D9)&lt;=E9,"OK","CHECK")</f>
        <v>OK</v>
      </c>
      <c r="G9" s="3" t="s">
        <v>790</v>
      </c>
    </row>
    <row r="10" customFormat="false" ht="15" hidden="false" customHeight="false" outlineLevel="0" collapsed="false">
      <c r="A10" s="6" t="s">
        <v>791</v>
      </c>
      <c r="B10" s="134" t="n">
        <f aca="false">Historicals!B19-Historicals!B18+Historicals!B22</f>
        <v>5737.7</v>
      </c>
      <c r="C10" s="135" t="n">
        <v>5737.7</v>
      </c>
      <c r="D10" s="136" t="n">
        <f aca="false">B10-C10</f>
        <v>0</v>
      </c>
      <c r="E10" s="137" t="n">
        <v>0.1</v>
      </c>
      <c r="F10" s="26" t="str">
        <f aca="false">IF(ABS(D10)&lt;=E10,"OK","CHECK")</f>
        <v>OK</v>
      </c>
      <c r="G10" s="3" t="s">
        <v>792</v>
      </c>
    </row>
    <row r="11" customFormat="false" ht="15" hidden="false" customHeight="false" outlineLevel="0" collapsed="false">
      <c r="A11" s="6" t="s">
        <v>793</v>
      </c>
      <c r="B11" s="138" t="n">
        <f aca="false">Historicals!E14+Historicals!E15</f>
        <v>7419.72</v>
      </c>
      <c r="C11" s="139" t="n">
        <v>7419.72</v>
      </c>
      <c r="D11" s="140" t="n">
        <f aca="false">B11-C11</f>
        <v>0</v>
      </c>
      <c r="E11" s="137" t="n">
        <v>0.05</v>
      </c>
      <c r="F11" s="26" t="str">
        <f aca="false">IF(ABS(D11)&lt;=E11,"OK","CHECK")</f>
        <v>OK</v>
      </c>
      <c r="G11" s="3" t="s">
        <v>794</v>
      </c>
    </row>
    <row r="12" customFormat="false" ht="15" hidden="false" customHeight="false" outlineLevel="0" collapsed="false">
      <c r="A12" s="6" t="s">
        <v>795</v>
      </c>
      <c r="B12" s="138" t="n">
        <f aca="false">Historicals!E24</f>
        <v>4325.35</v>
      </c>
      <c r="C12" s="139" t="n">
        <v>4325.35</v>
      </c>
      <c r="D12" s="140" t="n">
        <f aca="false">B12-C12</f>
        <v>0</v>
      </c>
      <c r="E12" s="137" t="n">
        <v>0.05</v>
      </c>
      <c r="F12" s="26" t="str">
        <f aca="false">IF(ABS(D12)&lt;=E12,"OK","CHECK")</f>
        <v>OK</v>
      </c>
      <c r="G12" s="3" t="s">
        <v>796</v>
      </c>
    </row>
    <row r="13" customFormat="false" ht="15" hidden="false" customHeight="false" outlineLevel="0" collapsed="false">
      <c r="A13" s="6" t="s">
        <v>797</v>
      </c>
      <c r="B13" s="134" t="n">
        <f aca="false">Historicals!B24</f>
        <v>4106.45</v>
      </c>
      <c r="C13" s="135" t="n">
        <v>4106.5</v>
      </c>
      <c r="D13" s="136" t="n">
        <f aca="false">B13-C13</f>
        <v>-0.0500000000029104</v>
      </c>
      <c r="E13" s="137" t="n">
        <v>0.1</v>
      </c>
      <c r="F13" s="26" t="str">
        <f aca="false">IF(ABS(D13)&lt;=E13,"OK","CHECK")</f>
        <v>OK</v>
      </c>
      <c r="G13" s="3" t="s">
        <v>798</v>
      </c>
    </row>
    <row r="14" customFormat="false" ht="15" hidden="false" customHeight="false" outlineLevel="0" collapsed="false">
      <c r="A14" s="6" t="s">
        <v>799</v>
      </c>
      <c r="B14" s="141" t="n">
        <f aca="false">Historicals!E26</f>
        <v>45.0933069224354</v>
      </c>
      <c r="C14" s="141" t="n">
        <f aca="false">Historicals!E27</f>
        <v>45.12</v>
      </c>
      <c r="D14" s="142" t="n">
        <f aca="false">B14-C14</f>
        <v>-0.0266930775646017</v>
      </c>
      <c r="E14" s="137" t="n">
        <v>0.05</v>
      </c>
      <c r="F14" s="26" t="str">
        <f aca="false">IF(ABS(D14)&lt;=E14,"OK","EXPLAINED")</f>
        <v>OK</v>
      </c>
      <c r="G14" s="3" t="s">
        <v>800</v>
      </c>
    </row>
    <row r="15" customFormat="false" ht="15" hidden="false" customHeight="false" outlineLevel="0" collapsed="false">
      <c r="A15" s="6" t="s">
        <v>801</v>
      </c>
      <c r="B15" s="82" t="n">
        <f aca="false">(Historicals!E43-Historicals!E10)/Historicals!E43</f>
        <v>0.436829746258067</v>
      </c>
      <c r="C15" s="82" t="n">
        <f aca="false">Historicals!E52</f>
        <v>0.437</v>
      </c>
      <c r="D15" s="81" t="n">
        <f aca="false">B15-C15</f>
        <v>-0.000170253741933246</v>
      </c>
      <c r="E15" s="137" t="n">
        <v>0.001</v>
      </c>
      <c r="F15" s="26" t="str">
        <f aca="false">IF(ABS(D15)&lt;=E15,"OK","CHECK")</f>
        <v>OK</v>
      </c>
      <c r="G15" s="3" t="s">
        <v>802</v>
      </c>
    </row>
    <row r="16" customFormat="false" ht="15" hidden="false" customHeight="false" outlineLevel="0" collapsed="false">
      <c r="A16" s="6" t="s">
        <v>803</v>
      </c>
      <c r="B16" s="134" t="n">
        <f aca="false">Historicals!E44</f>
        <v>35516.4</v>
      </c>
      <c r="C16" s="134" t="n">
        <f aca="false">Historicals!E43</f>
        <v>35516.4</v>
      </c>
      <c r="D16" s="136" t="n">
        <f aca="false">B16-C16</f>
        <v>0</v>
      </c>
      <c r="E16" s="137" t="n">
        <v>0.1</v>
      </c>
      <c r="F16" s="26" t="str">
        <f aca="false">IF(ABS(D16)&lt;=E16,"OK","CHECK")</f>
        <v>OK</v>
      </c>
      <c r="G16" s="3" t="s">
        <v>804</v>
      </c>
    </row>
    <row r="17" customFormat="false" ht="15" hidden="false" customHeight="false" outlineLevel="0" collapsed="false">
      <c r="A17" s="6" t="s">
        <v>805</v>
      </c>
      <c r="B17" s="134" t="n">
        <f aca="false">Historicals!D44</f>
        <v>33797.4</v>
      </c>
      <c r="C17" s="134" t="n">
        <f aca="false">Historicals!D43</f>
        <v>33797.4</v>
      </c>
      <c r="D17" s="136" t="n">
        <f aca="false">B17-C17</f>
        <v>0</v>
      </c>
      <c r="E17" s="137" t="n">
        <v>0.1</v>
      </c>
      <c r="F17" s="26" t="str">
        <f aca="false">IF(ABS(D17)&lt;=E17,"OK","CHECK")</f>
        <v>OK</v>
      </c>
      <c r="G17" s="3" t="s">
        <v>289</v>
      </c>
    </row>
    <row r="18" customFormat="false" ht="15" hidden="false" customHeight="false" outlineLevel="0" collapsed="false">
      <c r="A18" s="6" t="s">
        <v>806</v>
      </c>
      <c r="B18" s="134" t="n">
        <f aca="false">Historicals!E43+Historicals!E45</f>
        <v>35583.6</v>
      </c>
      <c r="C18" s="134" t="n">
        <f aca="false">Historicals!E6</f>
        <v>35583.54</v>
      </c>
      <c r="D18" s="136" t="n">
        <f aca="false">B18-C18</f>
        <v>0.0599999999976717</v>
      </c>
      <c r="E18" s="137" t="n">
        <v>0.2</v>
      </c>
      <c r="F18" s="26" t="str">
        <f aca="false">IF(ABS(D18)&lt;=E18,"OK","CHECK")</f>
        <v>OK</v>
      </c>
      <c r="G18" s="3" t="s">
        <v>798</v>
      </c>
    </row>
    <row r="19" customFormat="false" ht="15" hidden="false" customHeight="false" outlineLevel="0" collapsed="false">
      <c r="A19" s="6" t="s">
        <v>807</v>
      </c>
      <c r="B19" s="141" t="n">
        <f aca="false">'Balance Sheet'!E44</f>
        <v>222.80640116764</v>
      </c>
      <c r="C19" s="143" t="n">
        <v>222.8</v>
      </c>
      <c r="D19" s="142" t="n">
        <f aca="false">B19-C19</f>
        <v>0.00640116763963761</v>
      </c>
      <c r="E19" s="137" t="n">
        <v>0.1</v>
      </c>
      <c r="F19" s="26" t="str">
        <f aca="false">IF(ABS(D19)&lt;=E19,"OK","CHECK")</f>
        <v>OK</v>
      </c>
      <c r="G19" s="3" t="s">
        <v>798</v>
      </c>
    </row>
    <row r="20" customFormat="false" ht="15" hidden="false" customHeight="false" outlineLevel="0" collapsed="false">
      <c r="A20" s="6" t="s">
        <v>808</v>
      </c>
      <c r="B20" s="134" t="n">
        <f aca="false">'Balance Sheet'!E10+31.67</f>
        <v>2324.93</v>
      </c>
      <c r="C20" s="135" t="n">
        <v>2324.9</v>
      </c>
      <c r="D20" s="136" t="n">
        <f aca="false">B20-C20</f>
        <v>0.0300000000002001</v>
      </c>
      <c r="E20" s="137" t="n">
        <v>0.1</v>
      </c>
      <c r="F20" s="26" t="str">
        <f aca="false">IF(ABS(D20)&lt;=E20,"OK","EXPLAINED")</f>
        <v>OK</v>
      </c>
      <c r="G20" s="3" t="s">
        <v>809</v>
      </c>
    </row>
    <row r="21" customFormat="false" ht="15" hidden="false" customHeight="false" outlineLevel="0" collapsed="false">
      <c r="A21" s="6" t="s">
        <v>810</v>
      </c>
      <c r="B21" s="138" t="n">
        <f aca="false">'Cash Flow'!E10</f>
        <v>3377.6</v>
      </c>
      <c r="C21" s="138" t="n">
        <f aca="false">'Cash Flow'!E21</f>
        <v>3377.6</v>
      </c>
      <c r="D21" s="140" t="n">
        <f aca="false">B21-C21</f>
        <v>0</v>
      </c>
      <c r="E21" s="137" t="n">
        <v>0.05</v>
      </c>
      <c r="F21" s="26" t="str">
        <f aca="false">IF(ABS(D21)&lt;=E21,"OK","CHECK")</f>
        <v>OK</v>
      </c>
      <c r="G21" s="3" t="s">
        <v>811</v>
      </c>
    </row>
    <row r="22" customFormat="false" ht="15" hidden="false" customHeight="false" outlineLevel="0" collapsed="false">
      <c r="A22" s="6" t="s">
        <v>812</v>
      </c>
      <c r="B22" s="138" t="n">
        <f aca="false">'Cash Flow'!D10</f>
        <v>-202.74</v>
      </c>
      <c r="C22" s="138" t="n">
        <f aca="false">'Cash Flow'!D21</f>
        <v>-202.74</v>
      </c>
      <c r="D22" s="140" t="n">
        <f aca="false">B22-C22</f>
        <v>0</v>
      </c>
      <c r="E22" s="137" t="n">
        <v>0.05</v>
      </c>
      <c r="F22" s="26" t="str">
        <f aca="false">IF(ABS(D22)&lt;=E22,"OK","CHECK")</f>
        <v>OK</v>
      </c>
      <c r="G22" s="3" t="s">
        <v>813</v>
      </c>
    </row>
    <row r="23" customFormat="false" ht="15" hidden="false" customHeight="false" outlineLevel="0" collapsed="false">
      <c r="A23" s="6" t="s">
        <v>814</v>
      </c>
      <c r="B23" s="138" t="n">
        <f aca="false">'Cash Flow'!C10</f>
        <v>603.47</v>
      </c>
      <c r="C23" s="138" t="n">
        <f aca="false">'Cash Flow'!C21</f>
        <v>603.47</v>
      </c>
      <c r="D23" s="140" t="n">
        <f aca="false">B23-C23</f>
        <v>0</v>
      </c>
      <c r="E23" s="137" t="n">
        <v>0.05</v>
      </c>
      <c r="F23" s="26" t="str">
        <f aca="false">IF(ABS(D23)&lt;=E23,"OK","CHECK")</f>
        <v>OK</v>
      </c>
      <c r="G23" s="3" t="s">
        <v>815</v>
      </c>
    </row>
    <row r="24" customFormat="false" ht="15" hidden="false" customHeight="false" outlineLevel="0" collapsed="false">
      <c r="A24" s="6" t="s">
        <v>816</v>
      </c>
      <c r="B24" s="134" t="n">
        <f aca="false">'Quarterly Tracker'!E18</f>
        <v>35584</v>
      </c>
      <c r="C24" s="134" t="n">
        <f aca="false">Historicals!E6</f>
        <v>35583.54</v>
      </c>
      <c r="D24" s="136" t="n">
        <f aca="false">B24-C24</f>
        <v>0.459999999999127</v>
      </c>
      <c r="E24" s="144" t="n">
        <v>2</v>
      </c>
      <c r="F24" s="26" t="str">
        <f aca="false">IF(ABS(D24)&lt;=E24,"OK","CHECK")</f>
        <v>OK</v>
      </c>
      <c r="G24" s="3" t="s">
        <v>817</v>
      </c>
    </row>
    <row r="25" customFormat="false" ht="15" hidden="false" customHeight="false" outlineLevel="0" collapsed="false">
      <c r="A25" s="4" t="s">
        <v>818</v>
      </c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6" t="s">
        <v>819</v>
      </c>
      <c r="B26" s="134" t="n">
        <f aca="false">Forecast!C15</f>
        <v>35583.6</v>
      </c>
      <c r="C26" s="134" t="n">
        <f aca="false">Historicals!E6</f>
        <v>35583.54</v>
      </c>
      <c r="D26" s="136" t="n">
        <f aca="false">B26-C26</f>
        <v>0.0599999999976717</v>
      </c>
      <c r="E26" s="137" t="n">
        <v>0.2</v>
      </c>
      <c r="F26" s="26" t="str">
        <f aca="false">IF(ABS(D26)&lt;=E26,"OK","CHECK")</f>
        <v>OK</v>
      </c>
      <c r="G26" s="3" t="s">
        <v>820</v>
      </c>
    </row>
    <row r="27" customFormat="false" ht="15" hidden="false" customHeight="false" outlineLevel="0" collapsed="false">
      <c r="A27" s="6" t="s">
        <v>821</v>
      </c>
      <c r="B27" s="134" t="n">
        <f aca="false">Forecast!B15</f>
        <v>33905.7</v>
      </c>
      <c r="C27" s="134" t="n">
        <f aca="false">Historicals!D6</f>
        <v>33905.62</v>
      </c>
      <c r="D27" s="136" t="n">
        <f aca="false">B27-C27</f>
        <v>0.0800000000017462</v>
      </c>
      <c r="E27" s="137" t="n">
        <v>0.2</v>
      </c>
      <c r="F27" s="26" t="str">
        <f aca="false">IF(ABS(D27)&lt;=E27,"OK","CHECK")</f>
        <v>OK</v>
      </c>
      <c r="G27" s="3" t="s">
        <v>289</v>
      </c>
    </row>
    <row r="28" customFormat="false" ht="15" hidden="false" customHeight="false" outlineLevel="0" collapsed="false">
      <c r="A28" s="6" t="s">
        <v>822</v>
      </c>
      <c r="B28" s="141" t="n">
        <f aca="false">Scenarios!E27</f>
        <v>60.704900895944</v>
      </c>
      <c r="C28" s="141" t="n">
        <f aca="false">Forecast!E37</f>
        <v>60.704900895944</v>
      </c>
      <c r="D28" s="142" t="n">
        <f aca="false">B28-C28</f>
        <v>0</v>
      </c>
      <c r="E28" s="137" t="n">
        <v>0.001</v>
      </c>
      <c r="F28" s="26" t="str">
        <f aca="false">IF(ABS(D28)&lt;=E28,"OK","CHECK")</f>
        <v>OK</v>
      </c>
      <c r="G28" s="3" t="s">
        <v>823</v>
      </c>
    </row>
    <row r="29" customFormat="false" ht="15" hidden="false" customHeight="false" outlineLevel="0" collapsed="false">
      <c r="A29" s="6" t="s">
        <v>824</v>
      </c>
      <c r="B29" s="134" t="n">
        <f aca="false">SUM(DCF!C23:G23)</f>
        <v>23727.4906857195</v>
      </c>
      <c r="C29" s="134" t="n">
        <f aca="false">SUM(Forecast!D54:H54)</f>
        <v>23727.4906857195</v>
      </c>
      <c r="D29" s="136" t="n">
        <f aca="false">B29-C29</f>
        <v>0</v>
      </c>
      <c r="E29" s="137" t="n">
        <v>0.01</v>
      </c>
      <c r="F29" s="26" t="str">
        <f aca="false">IF(ABS(D29)&lt;=E29,"OK","CHECK")</f>
        <v>OK</v>
      </c>
      <c r="G29" s="3" t="s">
        <v>825</v>
      </c>
    </row>
    <row r="30" customFormat="false" ht="15" hidden="false" customHeight="false" outlineLevel="0" collapsed="false">
      <c r="A30" s="6" t="s">
        <v>826</v>
      </c>
      <c r="B30" s="145" t="n">
        <f aca="false">COUNTIF(Forecast!D59:H61,"OUTSIDE")+COUNTIF(Forecast!D59:H61,"NO")</f>
        <v>0</v>
      </c>
      <c r="C30" s="144" t="n">
        <v>0</v>
      </c>
      <c r="D30" s="146" t="n">
        <f aca="false">B30-C30</f>
        <v>0</v>
      </c>
      <c r="E30" s="144" t="n">
        <v>0</v>
      </c>
      <c r="F30" s="26" t="str">
        <f aca="false">IF(ABS(D30)&lt;=E30,"OK","CHECK")</f>
        <v>OK</v>
      </c>
      <c r="G30" s="3" t="s">
        <v>827</v>
      </c>
    </row>
    <row r="31" customFormat="false" ht="15" hidden="false" customHeight="false" outlineLevel="0" collapsed="false">
      <c r="A31" s="6" t="s">
        <v>828</v>
      </c>
      <c r="B31" s="133" t="n">
        <f aca="false">Valuation!B41</f>
        <v>2730</v>
      </c>
      <c r="C31" s="133" t="n">
        <f aca="false">ROUND(Forecast!E37*Assumptions!B32,-1)</f>
        <v>2730</v>
      </c>
      <c r="D31" s="102" t="n">
        <f aca="false">B31-C31</f>
        <v>0</v>
      </c>
      <c r="E31" s="144" t="n">
        <v>0</v>
      </c>
      <c r="F31" s="26" t="str">
        <f aca="false">IF(ABS(D31)&lt;=E31,"OK","CHECK")</f>
        <v>OK</v>
      </c>
      <c r="G31" s="3" t="s">
        <v>829</v>
      </c>
    </row>
    <row r="32" customFormat="false" ht="15" hidden="false" customHeight="false" outlineLevel="0" collapsed="false">
      <c r="A32" s="6" t="s">
        <v>830</v>
      </c>
      <c r="B32" s="82" t="n">
        <f aca="false">'Cash Flow'!E20</f>
        <v>0.609485815602837</v>
      </c>
      <c r="C32" s="85" t="n">
        <v>0.6</v>
      </c>
      <c r="D32" s="81" t="n">
        <f aca="false">B32-C32</f>
        <v>0.0094858156028369</v>
      </c>
      <c r="E32" s="137" t="n">
        <v>0.02</v>
      </c>
      <c r="F32" s="26" t="str">
        <f aca="false">IF(ABS(D32)&lt;=E32,"OK","CHECK")</f>
        <v>OK</v>
      </c>
      <c r="G32" s="3" t="s">
        <v>831</v>
      </c>
    </row>
    <row r="34" customFormat="false" ht="15" hidden="false" customHeight="false" outlineLevel="0" collapsed="false">
      <c r="A34" s="26" t="s">
        <v>832</v>
      </c>
      <c r="B34" s="26" t="str">
        <f aca="false">COUNTIF(F5:F32,"OK")+COUNTIF(F5:F32,"EXPLAINED")&amp;" of "&amp;(COUNTA(F5:F32))</f>
        <v>26 of 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90"/>
  </cols>
  <sheetData>
    <row r="1" customFormat="false" ht="17.35" hidden="false" customHeight="false" outlineLevel="0" collapsed="false">
      <c r="A1" s="33" t="s">
        <v>833</v>
      </c>
    </row>
    <row r="2" customFormat="false" ht="15" hidden="false" customHeight="false" outlineLevel="0" collapsed="false">
      <c r="A2" s="3" t="s">
        <v>834</v>
      </c>
    </row>
    <row r="4" customFormat="false" ht="30" hidden="false" customHeight="true" outlineLevel="0" collapsed="false">
      <c r="A4" s="14" t="s">
        <v>835</v>
      </c>
      <c r="B4" s="15" t="s">
        <v>30</v>
      </c>
      <c r="C4" s="15" t="s">
        <v>836</v>
      </c>
      <c r="D4" s="15" t="s">
        <v>837</v>
      </c>
      <c r="E4" s="15" t="s">
        <v>838</v>
      </c>
      <c r="F4" s="15" t="s">
        <v>213</v>
      </c>
      <c r="G4" s="15" t="s">
        <v>839</v>
      </c>
      <c r="H4" s="15" t="s">
        <v>214</v>
      </c>
      <c r="I4" s="15" t="s">
        <v>840</v>
      </c>
    </row>
    <row r="5" customFormat="false" ht="25.5" hidden="false" customHeight="true" outlineLevel="0" collapsed="false">
      <c r="A5" s="147" t="n">
        <v>1</v>
      </c>
      <c r="B5" s="148" t="s">
        <v>217</v>
      </c>
      <c r="C5" s="147" t="s">
        <v>841</v>
      </c>
      <c r="D5" s="148" t="s">
        <v>842</v>
      </c>
      <c r="E5" s="148" t="s">
        <v>843</v>
      </c>
      <c r="F5" s="147" t="s">
        <v>844</v>
      </c>
      <c r="G5" s="147" t="s">
        <v>845</v>
      </c>
      <c r="H5" s="149" t="s">
        <v>255</v>
      </c>
      <c r="I5" s="150" t="s">
        <v>846</v>
      </c>
    </row>
    <row r="6" customFormat="false" ht="25.5" hidden="false" customHeight="true" outlineLevel="0" collapsed="false">
      <c r="A6" s="147" t="n">
        <v>2</v>
      </c>
      <c r="B6" s="148" t="s">
        <v>217</v>
      </c>
      <c r="C6" s="147" t="s">
        <v>847</v>
      </c>
      <c r="D6" s="148" t="s">
        <v>848</v>
      </c>
      <c r="E6" s="148" t="s">
        <v>849</v>
      </c>
      <c r="F6" s="147" t="s">
        <v>850</v>
      </c>
      <c r="G6" s="147" t="s">
        <v>845</v>
      </c>
      <c r="H6" s="149" t="s">
        <v>255</v>
      </c>
      <c r="I6" s="150" t="s">
        <v>851</v>
      </c>
    </row>
    <row r="7" customFormat="false" ht="25.5" hidden="false" customHeight="true" outlineLevel="0" collapsed="false">
      <c r="A7" s="147" t="n">
        <v>3</v>
      </c>
      <c r="B7" s="148" t="s">
        <v>852</v>
      </c>
      <c r="C7" s="147" t="s">
        <v>853</v>
      </c>
      <c r="D7" s="148" t="s">
        <v>854</v>
      </c>
      <c r="E7" s="148" t="s">
        <v>855</v>
      </c>
      <c r="F7" s="147" t="s">
        <v>229</v>
      </c>
      <c r="G7" s="147" t="s">
        <v>845</v>
      </c>
      <c r="H7" s="149" t="s">
        <v>255</v>
      </c>
      <c r="I7" s="150" t="s">
        <v>856</v>
      </c>
    </row>
    <row r="8" customFormat="false" ht="25.5" hidden="false" customHeight="true" outlineLevel="0" collapsed="false">
      <c r="A8" s="147" t="n">
        <v>4</v>
      </c>
      <c r="B8" s="148" t="s">
        <v>857</v>
      </c>
      <c r="C8" s="147" t="s">
        <v>858</v>
      </c>
      <c r="D8" s="148" t="s">
        <v>859</v>
      </c>
      <c r="E8" s="148" t="s">
        <v>860</v>
      </c>
      <c r="F8" s="147" t="s">
        <v>219</v>
      </c>
      <c r="G8" s="147" t="s">
        <v>845</v>
      </c>
      <c r="H8" s="149" t="s">
        <v>255</v>
      </c>
      <c r="I8" s="150" t="s">
        <v>846</v>
      </c>
    </row>
    <row r="9" customFormat="false" ht="25.5" hidden="false" customHeight="true" outlineLevel="0" collapsed="false">
      <c r="A9" s="147" t="n">
        <v>5</v>
      </c>
      <c r="B9" s="148" t="s">
        <v>861</v>
      </c>
      <c r="C9" s="147" t="s">
        <v>862</v>
      </c>
      <c r="D9" s="148" t="s">
        <v>859</v>
      </c>
      <c r="E9" s="148" t="s">
        <v>863</v>
      </c>
      <c r="F9" s="147" t="s">
        <v>140</v>
      </c>
      <c r="G9" s="147" t="s">
        <v>864</v>
      </c>
      <c r="H9" s="151" t="s">
        <v>286</v>
      </c>
      <c r="I9" s="147" t="s">
        <v>865</v>
      </c>
    </row>
    <row r="10" customFormat="false" ht="25.5" hidden="false" customHeight="true" outlineLevel="0" collapsed="false">
      <c r="A10" s="147" t="n">
        <v>6</v>
      </c>
      <c r="B10" s="148" t="s">
        <v>241</v>
      </c>
      <c r="C10" s="147" t="s">
        <v>841</v>
      </c>
      <c r="D10" s="148" t="s">
        <v>866</v>
      </c>
      <c r="E10" s="148" t="s">
        <v>867</v>
      </c>
      <c r="F10" s="147" t="s">
        <v>844</v>
      </c>
      <c r="G10" s="147" t="s">
        <v>845</v>
      </c>
      <c r="H10" s="149" t="s">
        <v>255</v>
      </c>
      <c r="I10" s="150" t="s">
        <v>846</v>
      </c>
    </row>
    <row r="11" customFormat="false" ht="25.5" hidden="false" customHeight="true" outlineLevel="0" collapsed="false">
      <c r="A11" s="147" t="n">
        <v>7</v>
      </c>
      <c r="B11" s="148" t="s">
        <v>868</v>
      </c>
      <c r="C11" s="147" t="s">
        <v>858</v>
      </c>
      <c r="D11" s="148" t="s">
        <v>869</v>
      </c>
      <c r="E11" s="148" t="s">
        <v>860</v>
      </c>
      <c r="F11" s="147" t="s">
        <v>259</v>
      </c>
      <c r="G11" s="147" t="s">
        <v>845</v>
      </c>
      <c r="H11" s="149" t="s">
        <v>255</v>
      </c>
      <c r="I11" s="147" t="s">
        <v>870</v>
      </c>
    </row>
    <row r="12" customFormat="false" ht="25.5" hidden="false" customHeight="true" outlineLevel="0" collapsed="false">
      <c r="A12" s="147" t="n">
        <v>8</v>
      </c>
      <c r="B12" s="148" t="s">
        <v>871</v>
      </c>
      <c r="C12" s="147" t="s">
        <v>841</v>
      </c>
      <c r="D12" s="148" t="s">
        <v>872</v>
      </c>
      <c r="E12" s="148" t="s">
        <v>873</v>
      </c>
      <c r="F12" s="147" t="s">
        <v>270</v>
      </c>
      <c r="G12" s="147" t="s">
        <v>845</v>
      </c>
      <c r="H12" s="149" t="s">
        <v>255</v>
      </c>
      <c r="I12" s="150" t="s">
        <v>874</v>
      </c>
    </row>
    <row r="13" customFormat="false" ht="25.5" hidden="false" customHeight="true" outlineLevel="0" collapsed="false">
      <c r="A13" s="147" t="n">
        <v>9</v>
      </c>
      <c r="B13" s="148" t="s">
        <v>875</v>
      </c>
      <c r="C13" s="147" t="s">
        <v>876</v>
      </c>
      <c r="D13" s="148" t="s">
        <v>859</v>
      </c>
      <c r="E13" s="148" t="s">
        <v>877</v>
      </c>
      <c r="F13" s="147" t="s">
        <v>878</v>
      </c>
      <c r="G13" s="147" t="s">
        <v>845</v>
      </c>
      <c r="H13" s="149" t="s">
        <v>255</v>
      </c>
      <c r="I13" s="150" t="s">
        <v>874</v>
      </c>
    </row>
    <row r="14" customFormat="false" ht="25.5" hidden="false" customHeight="true" outlineLevel="0" collapsed="false">
      <c r="A14" s="147" t="n">
        <v>10</v>
      </c>
      <c r="B14" s="148" t="s">
        <v>879</v>
      </c>
      <c r="C14" s="147" t="s">
        <v>841</v>
      </c>
      <c r="D14" s="148" t="s">
        <v>880</v>
      </c>
      <c r="E14" s="148" t="s">
        <v>881</v>
      </c>
      <c r="F14" s="147" t="s">
        <v>254</v>
      </c>
      <c r="G14" s="147" t="s">
        <v>845</v>
      </c>
      <c r="H14" s="149" t="s">
        <v>255</v>
      </c>
      <c r="I14" s="150" t="s">
        <v>846</v>
      </c>
    </row>
    <row r="15" customFormat="false" ht="25.5" hidden="false" customHeight="true" outlineLevel="0" collapsed="false">
      <c r="A15" s="147" t="n">
        <v>11</v>
      </c>
      <c r="B15" s="148" t="s">
        <v>882</v>
      </c>
      <c r="C15" s="147" t="s">
        <v>847</v>
      </c>
      <c r="D15" s="148" t="s">
        <v>880</v>
      </c>
      <c r="E15" s="148" t="s">
        <v>883</v>
      </c>
      <c r="F15" s="147" t="s">
        <v>884</v>
      </c>
      <c r="G15" s="147" t="s">
        <v>845</v>
      </c>
      <c r="H15" s="149" t="s">
        <v>255</v>
      </c>
      <c r="I15" s="150" t="s">
        <v>851</v>
      </c>
    </row>
    <row r="16" customFormat="false" ht="25.5" hidden="false" customHeight="true" outlineLevel="0" collapsed="false">
      <c r="A16" s="147" t="n">
        <v>12</v>
      </c>
      <c r="B16" s="148" t="s">
        <v>885</v>
      </c>
      <c r="C16" s="147" t="s">
        <v>862</v>
      </c>
      <c r="D16" s="148" t="s">
        <v>886</v>
      </c>
      <c r="E16" s="148" t="s">
        <v>887</v>
      </c>
      <c r="F16" s="147" t="s">
        <v>888</v>
      </c>
      <c r="G16" s="147" t="s">
        <v>845</v>
      </c>
      <c r="H16" s="149" t="s">
        <v>255</v>
      </c>
      <c r="I16" s="150" t="s">
        <v>851</v>
      </c>
    </row>
    <row r="17" customFormat="false" ht="25.5" hidden="false" customHeight="true" outlineLevel="0" collapsed="false">
      <c r="A17" s="147" t="n">
        <v>13</v>
      </c>
      <c r="B17" s="148" t="s">
        <v>889</v>
      </c>
      <c r="C17" s="147" t="s">
        <v>862</v>
      </c>
      <c r="D17" s="148" t="s">
        <v>880</v>
      </c>
      <c r="E17" s="148" t="s">
        <v>890</v>
      </c>
      <c r="F17" s="147" t="s">
        <v>140</v>
      </c>
      <c r="G17" s="147" t="s">
        <v>864</v>
      </c>
      <c r="H17" s="152" t="s">
        <v>891</v>
      </c>
      <c r="I17" s="147" t="s">
        <v>892</v>
      </c>
    </row>
    <row r="18" customFormat="false" ht="25.5" hidden="false" customHeight="true" outlineLevel="0" collapsed="false">
      <c r="A18" s="147" t="n">
        <v>14</v>
      </c>
      <c r="B18" s="148" t="s">
        <v>893</v>
      </c>
      <c r="C18" s="147" t="s">
        <v>841</v>
      </c>
      <c r="D18" s="148" t="s">
        <v>894</v>
      </c>
      <c r="E18" s="148" t="s">
        <v>895</v>
      </c>
      <c r="F18" s="147" t="s">
        <v>896</v>
      </c>
      <c r="G18" s="147" t="s">
        <v>845</v>
      </c>
      <c r="H18" s="149" t="s">
        <v>255</v>
      </c>
      <c r="I18" s="150" t="s">
        <v>846</v>
      </c>
    </row>
    <row r="19" customFormat="false" ht="25.5" hidden="false" customHeight="true" outlineLevel="0" collapsed="false">
      <c r="A19" s="147" t="n">
        <v>15</v>
      </c>
      <c r="B19" s="148" t="s">
        <v>897</v>
      </c>
      <c r="C19" s="147" t="s">
        <v>847</v>
      </c>
      <c r="D19" s="148" t="s">
        <v>894</v>
      </c>
      <c r="E19" s="148" t="s">
        <v>898</v>
      </c>
      <c r="F19" s="147" t="s">
        <v>899</v>
      </c>
      <c r="G19" s="147" t="s">
        <v>845</v>
      </c>
      <c r="H19" s="149" t="s">
        <v>255</v>
      </c>
      <c r="I19" s="150" t="s">
        <v>851</v>
      </c>
    </row>
    <row r="20" customFormat="false" ht="25.5" hidden="false" customHeight="true" outlineLevel="0" collapsed="false">
      <c r="A20" s="147" t="n">
        <v>16</v>
      </c>
      <c r="B20" s="148" t="s">
        <v>900</v>
      </c>
      <c r="C20" s="147" t="s">
        <v>862</v>
      </c>
      <c r="D20" s="148" t="s">
        <v>894</v>
      </c>
      <c r="E20" s="148" t="s">
        <v>901</v>
      </c>
      <c r="F20" s="147" t="s">
        <v>140</v>
      </c>
      <c r="G20" s="147" t="s">
        <v>864</v>
      </c>
      <c r="H20" s="152" t="s">
        <v>891</v>
      </c>
      <c r="I20" s="147" t="s">
        <v>902</v>
      </c>
    </row>
    <row r="21" customFormat="false" ht="25.5" hidden="false" customHeight="true" outlineLevel="0" collapsed="false">
      <c r="A21" s="147" t="n">
        <v>17</v>
      </c>
      <c r="B21" s="148" t="s">
        <v>903</v>
      </c>
      <c r="C21" s="147" t="s">
        <v>876</v>
      </c>
      <c r="D21" s="148" t="s">
        <v>904</v>
      </c>
      <c r="E21" s="148" t="s">
        <v>855</v>
      </c>
      <c r="F21" s="147" t="s">
        <v>229</v>
      </c>
      <c r="G21" s="147" t="s">
        <v>845</v>
      </c>
      <c r="H21" s="149" t="s">
        <v>255</v>
      </c>
      <c r="I21" s="150" t="s">
        <v>856</v>
      </c>
    </row>
    <row r="22" customFormat="false" ht="25.5" hidden="false" customHeight="true" outlineLevel="0" collapsed="false">
      <c r="A22" s="147" t="n">
        <v>18</v>
      </c>
      <c r="B22" s="148" t="s">
        <v>905</v>
      </c>
      <c r="C22" s="147" t="s">
        <v>906</v>
      </c>
      <c r="D22" s="148" t="s">
        <v>907</v>
      </c>
      <c r="E22" s="148" t="s">
        <v>908</v>
      </c>
      <c r="F22" s="147" t="s">
        <v>140</v>
      </c>
      <c r="G22" s="147" t="s">
        <v>845</v>
      </c>
      <c r="H22" s="149" t="s">
        <v>255</v>
      </c>
      <c r="I22" s="150" t="s">
        <v>909</v>
      </c>
    </row>
    <row r="23" customFormat="false" ht="25.5" hidden="false" customHeight="true" outlineLevel="0" collapsed="false">
      <c r="A23" s="147" t="n">
        <v>19</v>
      </c>
      <c r="B23" s="148" t="s">
        <v>910</v>
      </c>
      <c r="C23" s="147" t="s">
        <v>911</v>
      </c>
      <c r="D23" s="148" t="s">
        <v>912</v>
      </c>
      <c r="E23" s="148" t="s">
        <v>913</v>
      </c>
      <c r="F23" s="147" t="s">
        <v>140</v>
      </c>
      <c r="G23" s="147" t="s">
        <v>845</v>
      </c>
      <c r="H23" s="149" t="s">
        <v>255</v>
      </c>
      <c r="I23" s="150" t="s">
        <v>914</v>
      </c>
    </row>
    <row r="24" customFormat="false" ht="25.5" hidden="false" customHeight="true" outlineLevel="0" collapsed="false">
      <c r="A24" s="147" t="n">
        <v>20</v>
      </c>
      <c r="B24" s="148" t="s">
        <v>915</v>
      </c>
      <c r="C24" s="147" t="s">
        <v>911</v>
      </c>
      <c r="D24" s="148" t="s">
        <v>916</v>
      </c>
      <c r="E24" s="148" t="s">
        <v>917</v>
      </c>
      <c r="F24" s="147" t="s">
        <v>140</v>
      </c>
      <c r="G24" s="147" t="s">
        <v>845</v>
      </c>
      <c r="H24" s="149" t="s">
        <v>255</v>
      </c>
      <c r="I24" s="150" t="s">
        <v>914</v>
      </c>
    </row>
    <row r="25" customFormat="false" ht="25.5" hidden="false" customHeight="true" outlineLevel="0" collapsed="false">
      <c r="A25" s="147" t="n">
        <v>21</v>
      </c>
      <c r="B25" s="148" t="s">
        <v>918</v>
      </c>
      <c r="C25" s="147" t="s">
        <v>911</v>
      </c>
      <c r="D25" s="148" t="s">
        <v>919</v>
      </c>
      <c r="E25" s="148" t="s">
        <v>920</v>
      </c>
      <c r="F25" s="147" t="s">
        <v>140</v>
      </c>
      <c r="G25" s="147" t="s">
        <v>845</v>
      </c>
      <c r="H25" s="149" t="s">
        <v>255</v>
      </c>
      <c r="I25" s="150" t="s">
        <v>914</v>
      </c>
    </row>
    <row r="26" customFormat="false" ht="25.5" hidden="false" customHeight="true" outlineLevel="0" collapsed="false">
      <c r="A26" s="147" t="n">
        <v>22</v>
      </c>
      <c r="B26" s="148" t="s">
        <v>921</v>
      </c>
      <c r="C26" s="147" t="s">
        <v>847</v>
      </c>
      <c r="D26" s="148" t="s">
        <v>922</v>
      </c>
      <c r="E26" s="148" t="s">
        <v>923</v>
      </c>
      <c r="F26" s="147" t="s">
        <v>140</v>
      </c>
      <c r="G26" s="147" t="s">
        <v>924</v>
      </c>
      <c r="H26" s="151" t="s">
        <v>286</v>
      </c>
      <c r="I26" s="150" t="s">
        <v>925</v>
      </c>
    </row>
    <row r="27" customFormat="false" ht="25.5" hidden="false" customHeight="true" outlineLevel="0" collapsed="false">
      <c r="A27" s="147" t="n">
        <v>23</v>
      </c>
      <c r="B27" s="148" t="s">
        <v>921</v>
      </c>
      <c r="C27" s="147" t="s">
        <v>911</v>
      </c>
      <c r="D27" s="148" t="s">
        <v>926</v>
      </c>
      <c r="E27" s="148" t="s">
        <v>927</v>
      </c>
      <c r="F27" s="147" t="s">
        <v>140</v>
      </c>
      <c r="G27" s="147" t="s">
        <v>924</v>
      </c>
      <c r="H27" s="151" t="s">
        <v>286</v>
      </c>
      <c r="I27" s="150" t="s">
        <v>928</v>
      </c>
    </row>
    <row r="28" customFormat="false" ht="25.5" hidden="false" customHeight="true" outlineLevel="0" collapsed="false">
      <c r="A28" s="147" t="n">
        <v>24</v>
      </c>
      <c r="B28" s="148" t="s">
        <v>921</v>
      </c>
      <c r="C28" s="147" t="s">
        <v>906</v>
      </c>
      <c r="D28" s="148" t="s">
        <v>929</v>
      </c>
      <c r="E28" s="148" t="s">
        <v>930</v>
      </c>
      <c r="F28" s="147" t="s">
        <v>140</v>
      </c>
      <c r="G28" s="147" t="s">
        <v>924</v>
      </c>
      <c r="H28" s="151" t="s">
        <v>286</v>
      </c>
      <c r="I28" s="150" t="s">
        <v>931</v>
      </c>
    </row>
    <row r="29" customFormat="false" ht="25.5" hidden="false" customHeight="true" outlineLevel="0" collapsed="false">
      <c r="A29" s="147" t="n">
        <v>25</v>
      </c>
      <c r="B29" s="148" t="s">
        <v>932</v>
      </c>
      <c r="C29" s="147" t="s">
        <v>933</v>
      </c>
      <c r="D29" s="148" t="s">
        <v>934</v>
      </c>
      <c r="E29" s="148" t="s">
        <v>935</v>
      </c>
      <c r="F29" s="147" t="s">
        <v>140</v>
      </c>
      <c r="G29" s="147" t="s">
        <v>924</v>
      </c>
      <c r="H29" s="151" t="s">
        <v>286</v>
      </c>
      <c r="I29" s="147" t="s">
        <v>936</v>
      </c>
    </row>
    <row r="30" customFormat="false" ht="25.5" hidden="false" customHeight="true" outlineLevel="0" collapsed="false">
      <c r="A30" s="147" t="n">
        <v>26</v>
      </c>
      <c r="B30" s="148" t="s">
        <v>937</v>
      </c>
      <c r="C30" s="147" t="s">
        <v>933</v>
      </c>
      <c r="D30" s="148" t="s">
        <v>934</v>
      </c>
      <c r="E30" s="148" t="s">
        <v>938</v>
      </c>
      <c r="F30" s="147" t="s">
        <v>140</v>
      </c>
      <c r="G30" s="147" t="s">
        <v>864</v>
      </c>
      <c r="H30" s="151" t="s">
        <v>286</v>
      </c>
      <c r="I30" s="147" t="s">
        <v>939</v>
      </c>
    </row>
    <row r="31" customFormat="false" ht="25.5" hidden="false" customHeight="true" outlineLevel="0" collapsed="false">
      <c r="A31" s="147" t="n">
        <v>27</v>
      </c>
      <c r="B31" s="148" t="s">
        <v>940</v>
      </c>
      <c r="C31" s="147" t="s">
        <v>933</v>
      </c>
      <c r="D31" s="148" t="s">
        <v>934</v>
      </c>
      <c r="E31" s="148" t="s">
        <v>941</v>
      </c>
      <c r="F31" s="147" t="s">
        <v>140</v>
      </c>
      <c r="G31" s="147" t="s">
        <v>942</v>
      </c>
      <c r="H31" s="151" t="s">
        <v>286</v>
      </c>
      <c r="I31" s="147" t="s">
        <v>943</v>
      </c>
    </row>
    <row r="32" customFormat="false" ht="25.5" hidden="false" customHeight="true" outlineLevel="0" collapsed="false">
      <c r="A32" s="147" t="n">
        <v>28</v>
      </c>
      <c r="B32" s="148" t="s">
        <v>944</v>
      </c>
      <c r="C32" s="147" t="s">
        <v>945</v>
      </c>
      <c r="D32" s="148" t="s">
        <v>946</v>
      </c>
      <c r="E32" s="148" t="s">
        <v>947</v>
      </c>
      <c r="F32" s="147" t="s">
        <v>140</v>
      </c>
      <c r="G32" s="147" t="s">
        <v>924</v>
      </c>
      <c r="H32" s="151" t="s">
        <v>286</v>
      </c>
      <c r="I32" s="150" t="s">
        <v>948</v>
      </c>
    </row>
    <row r="33" customFormat="false" ht="25.5" hidden="false" customHeight="true" outlineLevel="0" collapsed="false">
      <c r="A33" s="147" t="n">
        <v>29</v>
      </c>
      <c r="B33" s="148" t="s">
        <v>949</v>
      </c>
      <c r="C33" s="147" t="s">
        <v>950</v>
      </c>
      <c r="D33" s="148" t="s">
        <v>661</v>
      </c>
      <c r="E33" s="148" t="s">
        <v>951</v>
      </c>
      <c r="F33" s="147" t="s">
        <v>140</v>
      </c>
      <c r="G33" s="147" t="s">
        <v>924</v>
      </c>
      <c r="H33" s="151" t="s">
        <v>286</v>
      </c>
      <c r="I33" s="150" t="s">
        <v>952</v>
      </c>
    </row>
    <row r="34" customFormat="false" ht="25.5" hidden="false" customHeight="true" outlineLevel="0" collapsed="false">
      <c r="A34" s="147" t="n">
        <v>30</v>
      </c>
      <c r="B34" s="148" t="s">
        <v>953</v>
      </c>
      <c r="C34" s="147" t="s">
        <v>954</v>
      </c>
      <c r="D34" s="148" t="s">
        <v>955</v>
      </c>
      <c r="E34" s="148" t="s">
        <v>956</v>
      </c>
      <c r="F34" s="147" t="s">
        <v>140</v>
      </c>
      <c r="G34" s="147" t="s">
        <v>957</v>
      </c>
      <c r="H34" s="151" t="s">
        <v>286</v>
      </c>
      <c r="I34" s="147" t="s">
        <v>958</v>
      </c>
    </row>
    <row r="35" customFormat="false" ht="25.5" hidden="false" customHeight="true" outlineLevel="0" collapsed="false">
      <c r="A35" s="147" t="n">
        <v>31</v>
      </c>
      <c r="B35" s="148" t="s">
        <v>959</v>
      </c>
      <c r="C35" s="147" t="s">
        <v>906</v>
      </c>
      <c r="D35" s="148" t="s">
        <v>960</v>
      </c>
      <c r="E35" s="148" t="s">
        <v>961</v>
      </c>
      <c r="F35" s="147" t="s">
        <v>140</v>
      </c>
      <c r="G35" s="147" t="s">
        <v>962</v>
      </c>
      <c r="H35" s="151" t="s">
        <v>286</v>
      </c>
      <c r="I35" s="150" t="s">
        <v>963</v>
      </c>
    </row>
    <row r="36" customFormat="false" ht="25.5" hidden="false" customHeight="true" outlineLevel="0" collapsed="false">
      <c r="A36" s="147" t="n">
        <v>32</v>
      </c>
      <c r="B36" s="148" t="s">
        <v>964</v>
      </c>
      <c r="C36" s="147" t="s">
        <v>965</v>
      </c>
      <c r="D36" s="148" t="s">
        <v>966</v>
      </c>
      <c r="E36" s="148" t="s">
        <v>967</v>
      </c>
      <c r="F36" s="147" t="s">
        <v>140</v>
      </c>
      <c r="G36" s="147" t="s">
        <v>968</v>
      </c>
      <c r="H36" s="149" t="s">
        <v>255</v>
      </c>
      <c r="I36" s="150" t="s">
        <v>969</v>
      </c>
    </row>
    <row r="37" customFormat="false" ht="25.5" hidden="false" customHeight="true" outlineLevel="0" collapsed="false">
      <c r="A37" s="147" t="n">
        <v>33</v>
      </c>
      <c r="B37" s="148" t="s">
        <v>970</v>
      </c>
      <c r="C37" s="147" t="s">
        <v>906</v>
      </c>
      <c r="D37" s="148" t="s">
        <v>971</v>
      </c>
      <c r="E37" s="148" t="s">
        <v>972</v>
      </c>
      <c r="F37" s="147" t="s">
        <v>140</v>
      </c>
      <c r="G37" s="147" t="s">
        <v>924</v>
      </c>
      <c r="H37" s="151" t="s">
        <v>286</v>
      </c>
      <c r="I37" s="147" t="s">
        <v>973</v>
      </c>
    </row>
    <row r="38" customFormat="false" ht="25.5" hidden="false" customHeight="true" outlineLevel="0" collapsed="false">
      <c r="A38" s="147" t="n">
        <v>34</v>
      </c>
      <c r="B38" s="148" t="s">
        <v>974</v>
      </c>
      <c r="C38" s="147" t="s">
        <v>975</v>
      </c>
      <c r="D38" s="148" t="s">
        <v>976</v>
      </c>
      <c r="E38" s="148" t="s">
        <v>977</v>
      </c>
      <c r="F38" s="147" t="s">
        <v>140</v>
      </c>
      <c r="G38" s="147" t="s">
        <v>864</v>
      </c>
      <c r="H38" s="152" t="s">
        <v>891</v>
      </c>
      <c r="I38" s="147" t="s">
        <v>978</v>
      </c>
    </row>
    <row r="39" customFormat="false" ht="25.5" hidden="false" customHeight="true" outlineLevel="0" collapsed="false">
      <c r="A39" s="147" t="n">
        <v>35</v>
      </c>
      <c r="B39" s="148" t="s">
        <v>979</v>
      </c>
      <c r="C39" s="147" t="s">
        <v>954</v>
      </c>
      <c r="D39" s="148" t="s">
        <v>980</v>
      </c>
      <c r="E39" s="148" t="s">
        <v>981</v>
      </c>
      <c r="F39" s="147" t="s">
        <v>140</v>
      </c>
      <c r="G39" s="147" t="s">
        <v>864</v>
      </c>
      <c r="H39" s="151" t="s">
        <v>286</v>
      </c>
      <c r="I39" s="147" t="s">
        <v>982</v>
      </c>
    </row>
    <row r="40" customFormat="false" ht="25.5" hidden="false" customHeight="true" outlineLevel="0" collapsed="false">
      <c r="A40" s="147" t="n">
        <v>36</v>
      </c>
      <c r="B40" s="148" t="s">
        <v>983</v>
      </c>
      <c r="C40" s="147" t="s">
        <v>984</v>
      </c>
      <c r="D40" s="148" t="s">
        <v>985</v>
      </c>
      <c r="E40" s="148" t="s">
        <v>986</v>
      </c>
      <c r="F40" s="147" t="s">
        <v>140</v>
      </c>
      <c r="G40" s="147" t="s">
        <v>987</v>
      </c>
      <c r="H40" s="151" t="s">
        <v>286</v>
      </c>
      <c r="I40" s="150" t="s">
        <v>988</v>
      </c>
    </row>
    <row r="41" customFormat="false" ht="25.5" hidden="false" customHeight="true" outlineLevel="0" collapsed="false">
      <c r="A41" s="147" t="n">
        <v>37</v>
      </c>
      <c r="B41" s="148" t="s">
        <v>989</v>
      </c>
      <c r="C41" s="147" t="s">
        <v>990</v>
      </c>
      <c r="D41" s="148" t="s">
        <v>991</v>
      </c>
      <c r="E41" s="148" t="s">
        <v>992</v>
      </c>
      <c r="F41" s="147" t="s">
        <v>140</v>
      </c>
      <c r="G41" s="147" t="s">
        <v>993</v>
      </c>
      <c r="H41" s="153" t="s">
        <v>778</v>
      </c>
      <c r="I41" s="150" t="s">
        <v>994</v>
      </c>
    </row>
    <row r="42" customFormat="false" ht="25.5" hidden="false" customHeight="true" outlineLevel="0" collapsed="false">
      <c r="A42" s="147" t="n">
        <v>38</v>
      </c>
      <c r="B42" s="148" t="s">
        <v>995</v>
      </c>
      <c r="C42" s="147" t="s">
        <v>933</v>
      </c>
      <c r="D42" s="148" t="s">
        <v>934</v>
      </c>
      <c r="E42" s="148" t="s">
        <v>996</v>
      </c>
      <c r="F42" s="147" t="s">
        <v>140</v>
      </c>
      <c r="G42" s="147" t="s">
        <v>924</v>
      </c>
      <c r="H42" s="153" t="s">
        <v>778</v>
      </c>
      <c r="I42" s="147" t="s">
        <v>997</v>
      </c>
    </row>
    <row r="43" customFormat="false" ht="25.5" hidden="false" customHeight="true" outlineLevel="0" collapsed="false">
      <c r="A43" s="147" t="n">
        <v>39</v>
      </c>
      <c r="B43" s="148" t="s">
        <v>998</v>
      </c>
      <c r="C43" s="147" t="s">
        <v>906</v>
      </c>
      <c r="D43" s="148" t="s">
        <v>999</v>
      </c>
      <c r="E43" s="148" t="s">
        <v>1000</v>
      </c>
      <c r="F43" s="147" t="s">
        <v>140</v>
      </c>
      <c r="G43" s="147" t="s">
        <v>845</v>
      </c>
      <c r="H43" s="152" t="s">
        <v>891</v>
      </c>
      <c r="I43" s="147" t="s">
        <v>1001</v>
      </c>
    </row>
  </sheetData>
  <hyperlinks>
    <hyperlink ref="I5" r:id="rId1" display="https://static.asianpaints.com/content/dam/annual-report-2526/pdf/Consolidated.pdf"/>
    <hyperlink ref="I6" r:id="rId2" display="https://static.asianpaints.com/content/dam/annual-folder-2425/pdf/Consolidated.pdf"/>
    <hyperlink ref="I7" r:id="rId3" display="https://static.asianpaints.com/content/dam/annual-report-2526/pdf/Ten-year-review.pdf"/>
    <hyperlink ref="I8" r:id="rId4" display="https://static.asianpaints.com/content/dam/annual-report-2526/pdf/Consolidated.pdf"/>
    <hyperlink ref="I10" r:id="rId5" display="https://static.asianpaints.com/content/dam/annual-report-2526/pdf/Consolidated.pdf"/>
    <hyperlink ref="I12" r:id="rId6" display="https://static.asianpaints.com/content/dam/annual-report-2526/pdf/Financial-review.pdf"/>
    <hyperlink ref="I13" r:id="rId7" display="https://static.asianpaints.com/content/dam/annual-report-2526/pdf/Financial-review.pdf"/>
    <hyperlink ref="I14" r:id="rId8" display="https://static.asianpaints.com/content/dam/annual-report-2526/pdf/Consolidated.pdf"/>
    <hyperlink ref="I15" r:id="rId9" display="https://static.asianpaints.com/content/dam/annual-folder-2425/pdf/Consolidated.pdf"/>
    <hyperlink ref="I16" r:id="rId10" display="https://static.asianpaints.com/content/dam/annual-folder-2425/pdf/Consolidated.pdf"/>
    <hyperlink ref="I18" r:id="rId11" display="https://static.asianpaints.com/content/dam/annual-report-2526/pdf/Consolidated.pdf"/>
    <hyperlink ref="I19" r:id="rId12" display="https://static.asianpaints.com/content/dam/annual-folder-2425/pdf/Consolidated.pdf"/>
    <hyperlink ref="I21" r:id="rId13" display="https://static.asianpaints.com/content/dam/annual-report-2526/pdf/Ten-year-review.pdf"/>
    <hyperlink ref="I22" r:id="rId14" display="https://www.asianpaints.com/content/annualreport/annual-report-25-26.html"/>
    <hyperlink ref="I23" r:id="rId15" display="https://www.asianpaints.com/content/annualreport/annual-report-24-25.html"/>
    <hyperlink ref="I24" r:id="rId16" display="https://www.asianpaints.com/content/annualreport/annual-report-24-25.html"/>
    <hyperlink ref="I25" r:id="rId17" display="https://www.asianpaints.com/content/annualreport/annual-report-24-25.html"/>
    <hyperlink ref="I26" r:id="rId18" display="https://pcimag.com/articles/112341-asian-paints-reports-fiscal-year-results — verify in Q4FY24 release on BSE"/>
    <hyperlink ref="I27" r:id="rId19" display="https://quartr.com/events/asian-paints-limited-asianpaint-q4-24-25_3sTIICrf — verify in Q4FY25 investor presentation"/>
    <hyperlink ref="I28" r:id="rId20" display="https://finance.yahoo.com/markets/stocks/articles/asian-paints-ltd-bom-500820-230052885.html — verify in Q4FY26 presentation"/>
    <hyperlink ref="I32" r:id="rId21" display="https://www.business-standard.com/markets/news/near-term-margin-pressure-may-weigh-on-asian-paints-despite-strong-q1-126073001501_1.html — verify in Q1FY27 transcript"/>
    <hyperlink ref="I33" r:id="rId22" display="https://filingreader.com/news-wire/mumbai/2026-06-03/asian-paints-records-strong-fy26-growth-as-gross-margins-surge"/>
    <hyperlink ref="I35" r:id="rId23" display="https://www.businesstoday.in/latest/corporate/story/grasim-bets-big-on-new-growth-engines-as-revenue-nears-rs2-lakh-crore-550630-2026-08-21"/>
    <hyperlink ref="I36" r:id="rId24" display="https://www.grasim.com/media/press-releases/grasim-earning-financial-results-q2fy2026"/>
    <hyperlink ref="I40" r:id="rId25" display="https://tradingeconomics.com/india/government-bond-yield/news/583773 — verify on RBI/CCIL"/>
    <hyperlink ref="I41" r:id="rId26" display="https://www.icicidirect.com/mailcontent/idirect_asianpaints_q4fy26.pdf — used only to bound the bull multip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2026-09-19T10:19:08Z</dcterms:created>
  <dc:creator>openpyxl</dc:creator>
  <dc:description/>
  <dc:language>en-US</dc:language>
  <cp:lastModifiedBy/>
  <dcterms:modified xsi:type="dcterms:W3CDTF">2026-09-19T10:19:09Z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